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'Лист1'!$A$1:$N$100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z val="11"/>
      <scheme val="minor"/>
    </font>
    <font>
      <name val="Arial"/>
      <color theme="1"/>
      <scheme val="minor"/>
    </font>
    <font>
      <name val="Arial"/>
      <color theme="1"/>
      <sz val="9"/>
    </font>
  </fonts>
  <fills count="5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49" fontId="3" fillId="3" borderId="1" applyAlignment="1" pivotButton="0" quotePrefix="0" xfId="0">
      <alignment horizontal="center" vertical="bottom"/>
    </xf>
    <xf numFmtId="0" fontId="3" fillId="3" borderId="1" applyAlignment="1" pivotButton="0" quotePrefix="0" xfId="0">
      <alignment vertical="bottom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9" fontId="3" fillId="4" borderId="1" applyAlignment="1" pivotButton="0" quotePrefix="0" xfId="0">
      <alignment horizontal="center" vertical="bottom"/>
    </xf>
    <xf numFmtId="0" fontId="3" fillId="4" borderId="1" applyAlignment="1" pivotButton="0" quotePrefix="0" xfId="0">
      <alignment vertical="bottom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49" fontId="3" fillId="2" borderId="1" applyAlignment="1" pivotButton="0" quotePrefix="0" xfId="0">
      <alignment horizontal="center" vertical="bottom"/>
    </xf>
    <xf numFmtId="0" fontId="3" fillId="2" borderId="1" applyAlignment="1" pivotButton="0" quotePrefix="0" xfId="0">
      <alignment vertical="bottom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bottom" wrapText="1"/>
    </xf>
    <xf numFmtId="4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N100"/>
  <sheetViews>
    <sheetView workbookViewId="0">
      <selection activeCell="A1" sqref="A1"/>
    </sheetView>
  </sheetViews>
  <sheetFormatPr baseColWidth="8" defaultColWidth="12.63" defaultRowHeight="15.75" customHeight="1"/>
  <cols>
    <col width="8.630000000000001" customWidth="1" style="20" min="1" max="1"/>
    <col width="31.13" customWidth="1" style="20" min="2" max="2"/>
    <col width="32.38" customWidth="1" style="20" min="3" max="3"/>
    <col width="11.38" customWidth="1" style="20" min="4" max="4"/>
    <col width="13.13" customWidth="1" style="20" min="6" max="6"/>
    <col width="58" customWidth="1" style="20" min="10" max="10"/>
    <col width="31" customWidth="1" style="20" min="11" max="11"/>
    <col width="24" customWidth="1" style="20" min="12" max="12"/>
    <col width="58" customWidth="1" style="20" min="13" max="13"/>
    <col width="58" customWidth="1" style="20" min="14" max="14"/>
  </cols>
  <sheetData>
    <row r="1">
      <c r="A1" s="1" t="inlineStr">
        <is>
          <t>№</t>
        </is>
      </c>
      <c r="B1" s="2" t="inlineStr">
        <is>
          <t>Аромат</t>
        </is>
      </c>
      <c r="C1" s="2" t="inlineStr">
        <is>
          <t>Оригинальные названия</t>
        </is>
      </c>
      <c r="D1" s="3" t="inlineStr">
        <is>
          <t>Кол-во масла в %</t>
        </is>
      </c>
      <c r="E1" s="3" t="inlineStr">
        <is>
          <t>Кол-во спирта в %</t>
        </is>
      </c>
      <c r="F1" s="3" t="inlineStr">
        <is>
          <t>Пол</t>
        </is>
      </c>
      <c r="G1" s="3" t="inlineStr">
        <is>
          <t>Категория</t>
        </is>
      </c>
      <c r="I1" s="4" t="n"/>
      <c r="J1" s="4" t="inlineStr">
        <is>
          <t>Ноты</t>
        </is>
      </c>
      <c r="K1" s="2" t="inlineStr">
        <is>
          <t>Группа</t>
        </is>
      </c>
      <c r="L1" s="2" t="inlineStr">
        <is>
          <t>Сезонность</t>
        </is>
      </c>
      <c r="M1" s="3" t="inlineStr">
        <is>
          <t>Аккорды (сила 0–100)</t>
        </is>
      </c>
      <c r="N1" s="3" t="inlineStr">
        <is>
          <t>Случаи (сила 0–100)</t>
        </is>
      </c>
    </row>
    <row r="2" ht="54" customHeight="1" s="20">
      <c r="A2" s="5" t="inlineStr">
        <is>
          <t>011</t>
        </is>
      </c>
      <c r="B2" s="6" t="inlineStr">
        <is>
          <t>FLUIDE 11 AMOR AMOR 30 мл</t>
        </is>
      </c>
      <c r="C2" s="6" t="inlineStr">
        <is>
          <t>Cacharel Amor Amor</t>
        </is>
      </c>
      <c r="D2" s="7" t="n">
        <v>25</v>
      </c>
      <c r="E2" s="8">
        <f>100-D2</f>
        <v/>
      </c>
      <c r="F2" s="7" t="inlineStr">
        <is>
          <t>женский</t>
        </is>
      </c>
      <c r="G2" s="7" t="inlineStr">
        <is>
          <t>Люкс</t>
        </is>
      </c>
      <c r="I2" s="4" t="inlineStr">
        <is>
          <t>Eau de parfum</t>
        </is>
      </c>
      <c r="J2" s="21" t="inlineStr">
        <is>
          <t>Верхние: черная смородина, апельсин, мандарин, грейпфрут, кассия, бергамот
Средние: роза, абрикос, жасмин, лилия, ландыш
Базовые: ваниль, бобы тонка, мускус, амбра, виргинский кедр</t>
        </is>
      </c>
      <c r="K2" s="17" t="inlineStr">
        <is>
          <t>цветочные фруктовые</t>
        </is>
      </c>
      <c r="L2" s="17" t="inlineStr">
        <is>
          <t>зима, весна, осень</t>
        </is>
      </c>
      <c r="M2" s="22" t="inlineStr">
        <is>
          <t>цитрусовый: 100; фруктовый: 88,8; ванильный: 75,7; мягкий пряный: 57,4; фужерный: 57,2; сладкий: 56,6; белые цветы: 55,7; пудровый: 55,6; розовый: 52,8; древесный: 51,4</t>
        </is>
      </c>
      <c r="N2" s="22" t="inlineStr">
        <is>
          <t>На каждый день: 100; Прогулка: 70; Вечерние: 58; Свидание: 58; Спортзал: 0</t>
        </is>
      </c>
    </row>
    <row r="3" ht="54" customHeight="1" s="20">
      <c r="A3" s="5" t="inlineStr">
        <is>
          <t>100</t>
        </is>
      </c>
      <c r="B3" s="6" t="inlineStr">
        <is>
          <t>FLUIDE 100 BLOOMING 30 мл</t>
        </is>
      </c>
      <c r="C3" s="6" t="inlineStr">
        <is>
          <t>Dior Miss Dior Blooming Bouquet</t>
        </is>
      </c>
      <c r="D3" s="7" t="n">
        <v>30</v>
      </c>
      <c r="E3" s="8">
        <f>100-D3</f>
        <v/>
      </c>
      <c r="F3" s="7" t="inlineStr">
        <is>
          <t>женский</t>
        </is>
      </c>
      <c r="G3" s="7" t="inlineStr">
        <is>
          <t>Люкс</t>
        </is>
      </c>
      <c r="I3" s="4" t="inlineStr">
        <is>
          <t>Eau de extrait</t>
        </is>
      </c>
      <c r="J3" s="21" t="inlineStr">
        <is>
          <t>Верхние: сицилийский мандарин
Средние: розовый пион, дамасская роза, абрикос, персик
Базовые: белый мускус</t>
        </is>
      </c>
      <c r="K3" s="17" t="inlineStr">
        <is>
          <t>цветочные фруктовые</t>
        </is>
      </c>
      <c r="L3" s="17" t="inlineStr">
        <is>
          <t>весна</t>
        </is>
      </c>
      <c r="M3" s="22" t="inlineStr">
        <is>
          <t>цветочный: 100; розовый: 99,7; свежий: 76,2; фруктовый: 61,2; мускусный: 56,8; цитрусовый: 54,4; пудровый: 53,7; сладкий: 45,2</t>
        </is>
      </c>
      <c r="N3" s="22" t="inlineStr">
        <is>
          <t>На каждый день: 96,1; Прогулка: 71,5; Вечерние: 31,8; Свидание: 31,8; Спортзал: 14</t>
        </is>
      </c>
    </row>
    <row r="4" ht="54" customHeight="1" s="20">
      <c r="A4" s="5" t="inlineStr">
        <is>
          <t>046</t>
        </is>
      </c>
      <c r="B4" s="6" t="inlineStr">
        <is>
          <t>FLUIDE 46 BOMBSHELL 30 мл</t>
        </is>
      </c>
      <c r="C4" s="6" t="inlineStr">
        <is>
          <t>Victoria's Secret Bombshell</t>
        </is>
      </c>
      <c r="D4" s="7" t="n">
        <v>35</v>
      </c>
      <c r="E4" s="8">
        <f>100-D4</f>
        <v/>
      </c>
      <c r="F4" s="7" t="inlineStr">
        <is>
          <t>женский</t>
        </is>
      </c>
      <c r="G4" s="7" t="inlineStr">
        <is>
          <t>Люкс</t>
        </is>
      </c>
      <c r="I4" s="4" t="inlineStr">
        <is>
          <t>Eau de extrait</t>
        </is>
      </c>
      <c r="J4" s="21" t="inlineStr">
        <is>
          <t>Верхние: маракуйя, цитрусы
Средние: ванильная орхидея, пион
Базовые: сосна</t>
        </is>
      </c>
      <c r="K4" s="17" t="inlineStr">
        <is>
          <t>цветочные фруктовые</t>
        </is>
      </c>
      <c r="L4" s="17" t="inlineStr">
        <is>
          <t>лето</t>
        </is>
      </c>
      <c r="M4" s="22" t="inlineStr">
        <is>
          <t>фруктовый: 100; сладкий: 91; свежий: 83,6; цитрусовый: 77,5; цветочный: 71; тропический: 63,4; белые цветы: 53,2; розовый: 44,2</t>
        </is>
      </c>
      <c r="N4" s="22" t="inlineStr">
        <is>
          <t>На каждый день: 100; Прогулка: 81,9; Спортзал: 39,6; Вечерние: 30,2; Свидание: 30,2</t>
        </is>
      </c>
    </row>
    <row r="5" ht="54" customHeight="1" s="20">
      <c r="A5" s="5" t="inlineStr">
        <is>
          <t>282</t>
        </is>
      </c>
      <c r="B5" s="6" t="inlineStr">
        <is>
          <t>FLUIDE 282 BOMBSHELL PARADISE 30 мл</t>
        </is>
      </c>
      <c r="C5" s="6" t="inlineStr">
        <is>
          <t>Victoria's Secret Bombshell Paradise</t>
        </is>
      </c>
      <c r="D5" s="7" t="n">
        <v>30</v>
      </c>
      <c r="E5" s="8">
        <f>100-D5</f>
        <v/>
      </c>
      <c r="F5" s="7" t="inlineStr">
        <is>
          <t>женский</t>
        </is>
      </c>
      <c r="G5" s="7" t="inlineStr">
        <is>
          <t>Люкс</t>
        </is>
      </c>
      <c r="I5" s="4" t="inlineStr">
        <is>
          <t>Eau de parfum</t>
        </is>
      </c>
      <c r="J5" s="21" t="inlineStr">
        <is>
          <t>Основные: грейпфрут, черная смородина, ландыш, древесные ноты</t>
        </is>
      </c>
      <c r="K5" s="17" t="inlineStr">
        <is>
          <t>цветочные фруктовые</t>
        </is>
      </c>
      <c r="L5" s="17" t="inlineStr">
        <is>
          <t>лето</t>
        </is>
      </c>
      <c r="M5" s="22" t="inlineStr">
        <is>
          <t>цитрусовый: 100; фруктовый: 87,6; древесный: 84,4; белые цветы: 72,7; свежий пряный: 56,4; зеленый: 56,3; свежий: 55,6; фужерный: 55,3; цветочный: 50,8; мягкий пряный: 50,2</t>
        </is>
      </c>
      <c r="N5" s="22" t="inlineStr">
        <is>
          <t>На каждый день: 95,5; Прогулка: 77,9; Спортзал: 36,7; Вечерние: 25,8; Свидание: 25,8</t>
        </is>
      </c>
    </row>
    <row r="6" ht="54" customHeight="1" s="20">
      <c r="A6" s="5" t="inlineStr">
        <is>
          <t>044</t>
        </is>
      </c>
      <c r="B6" s="6" t="inlineStr">
        <is>
          <t>FLUIDE 44 BRIGHT CRYSTAL 30 мл</t>
        </is>
      </c>
      <c r="C6" s="6" t="inlineStr">
        <is>
          <t>Versace Bright Crystal</t>
        </is>
      </c>
      <c r="D6" s="7" t="n">
        <v>35</v>
      </c>
      <c r="E6" s="8">
        <f>100-D6</f>
        <v/>
      </c>
      <c r="F6" s="7" t="inlineStr">
        <is>
          <t>женский</t>
        </is>
      </c>
      <c r="G6" s="7" t="inlineStr">
        <is>
          <t>Люкс</t>
        </is>
      </c>
      <c r="I6" s="4" t="inlineStr">
        <is>
          <t>Eau de extrait</t>
        </is>
      </c>
      <c r="J6" s="21" t="inlineStr">
        <is>
          <t>Верхние: юдзу, гранат, лед
Средние: пион, лотос, магнолия
Базовые: мускус, красное дерево, амбра</t>
        </is>
      </c>
      <c r="K6" s="17" t="inlineStr">
        <is>
          <t>цветочные фруктовые</t>
        </is>
      </c>
      <c r="L6" s="17" t="inlineStr">
        <is>
          <t>весна</t>
        </is>
      </c>
      <c r="M6" s="22" t="inlineStr">
        <is>
          <t>цветочный: 100; цитрусовый: 60,3; свежий: 60,3; древесный: 51,1; розовый: 45,8; свежий пряный: 45,6; акватический: 44,5</t>
        </is>
      </c>
      <c r="N6" s="22" t="inlineStr">
        <is>
          <t>На каждый день: 100; Прогулка: 77,7; Вечерние: 26,7; Свидание: 26,7; Спортзал: 25,6</t>
        </is>
      </c>
    </row>
    <row r="7" ht="54" customHeight="1" s="20">
      <c r="A7" s="5" t="inlineStr">
        <is>
          <t>087</t>
        </is>
      </c>
      <c r="B7" s="6" t="inlineStr">
        <is>
          <t>FLUIDE 87 CAR GOOD GIRL 30 мл</t>
        </is>
      </c>
      <c r="C7" s="6" t="inlineStr">
        <is>
          <t>Carolina Herrera Good Girl</t>
        </is>
      </c>
      <c r="D7" s="7" t="n">
        <v>25</v>
      </c>
      <c r="E7" s="8">
        <f>100-D7</f>
        <v/>
      </c>
      <c r="F7" s="7" t="inlineStr">
        <is>
          <t>женский</t>
        </is>
      </c>
      <c r="G7" s="7" t="inlineStr">
        <is>
          <t>Люкс</t>
        </is>
      </c>
      <c r="I7" s="4" t="inlineStr">
        <is>
          <t>Eau de parfum</t>
        </is>
      </c>
      <c r="J7" s="21" t="inlineStr">
        <is>
          <t>Верхние: миндаль, кофе, бергамот, лимон
Средние: тубероза, жасмин самбак, цветок апельсина, болгарская роза, корень ириса
Базовые: бобы тонка, какао, ваниль, пралине, сандал, мускус, амбра, кашемировое дерево, пачули, корица, кедр</t>
        </is>
      </c>
      <c r="K7" s="17" t="inlineStr">
        <is>
          <t>восточные цветочные</t>
        </is>
      </c>
      <c r="L7" s="17" t="inlineStr">
        <is>
          <t>зима, осень</t>
        </is>
      </c>
      <c r="M7" s="22" t="inlineStr">
        <is>
          <t>сладкий: 100; белые цветы: 99,1; теплый пряный: 92,4; ванильный: 92,1; амбровый: 69,5; какао: 67,3; древесный: 66,6; тубероза: 62,7; миндальный: 61,3; пудровый: 61</t>
        </is>
      </c>
      <c r="N7" s="22" t="inlineStr">
        <is>
          <t>Свидание: 100; Вечерние: 99,4; На каждый день: 43,6; Прогулка: 30,5; Спортзал: 0</t>
        </is>
      </c>
    </row>
    <row r="8" ht="54" customHeight="1" s="20">
      <c r="A8" s="5" t="inlineStr">
        <is>
          <t>013</t>
        </is>
      </c>
      <c r="B8" s="6" t="inlineStr">
        <is>
          <t>FLUIDE 13 CHANCE 30 мл</t>
        </is>
      </c>
      <c r="C8" s="6" t="inlineStr">
        <is>
          <t>Chanel Chance</t>
        </is>
      </c>
      <c r="D8" s="7" t="n">
        <v>30</v>
      </c>
      <c r="E8" s="8">
        <f>100-D8</f>
        <v/>
      </c>
      <c r="F8" s="7" t="inlineStr">
        <is>
          <t>женский</t>
        </is>
      </c>
      <c r="G8" s="7" t="inlineStr">
        <is>
          <t>Люкс</t>
        </is>
      </c>
      <c r="I8" s="4" t="inlineStr">
        <is>
          <t>Eau de extrait</t>
        </is>
      </c>
      <c r="J8" s="21" t="inlineStr">
        <is>
          <t>Верхние: розовый перец
Средние: жасмин, ирис
Базовые: пачули, мускус, ваниль</t>
        </is>
      </c>
      <c r="K8" s="17" t="inlineStr">
        <is>
          <t>шипровые цветочные</t>
        </is>
      </c>
      <c r="L8" s="17" t="inlineStr">
        <is>
          <t>весна, осень</t>
        </is>
      </c>
      <c r="M8" s="22" t="inlineStr">
        <is>
          <t>пачулиевый: 100; древесный: 97,1; землистый: 91,7; сладкий: 91,2; цитрусовый: 90,3; мускусный: 77,8; фруктовый: 75,3; мягкий пряный: 71,2; пудровый: 67,6; фужерный: 67,6</t>
        </is>
      </c>
      <c r="N8" s="22" t="inlineStr">
        <is>
          <t>На каждый день: 96,8; Прогулка: 73,3; Вечерние: 62,6; Свидание: 62,6; Спортзал: 18,4</t>
        </is>
      </c>
    </row>
    <row r="9" ht="54" customHeight="1" s="20">
      <c r="A9" s="5" t="inlineStr">
        <is>
          <t>019</t>
        </is>
      </c>
      <c r="B9" s="6" t="inlineStr">
        <is>
          <t>FLUIDE 19 CHERRY 30 мл</t>
        </is>
      </c>
      <c r="C9" s="6" t="inlineStr">
        <is>
          <t>Escada Cherry In The Air</t>
        </is>
      </c>
      <c r="D9" s="7" t="n">
        <v>30</v>
      </c>
      <c r="E9" s="8">
        <f>100-D9</f>
        <v/>
      </c>
      <c r="F9" s="7" t="inlineStr">
        <is>
          <t>женский</t>
        </is>
      </c>
      <c r="G9" s="7" t="inlineStr">
        <is>
          <t>Люкс</t>
        </is>
      </c>
      <c r="I9" s="4" t="inlineStr">
        <is>
          <t>Eau de extrait</t>
        </is>
      </c>
      <c r="J9" s="21" t="inlineStr">
        <is>
          <t>Верхние: кислая вишня, малина, дайм, мандарин
Средние: маршмеллоу, ваниль, гардения, орхидея
Базовые: белая замша, сандал, мускус, дуб</t>
        </is>
      </c>
      <c r="K9" s="17" t="inlineStr">
        <is>
          <t>цветочные фруктовые</t>
        </is>
      </c>
      <c r="L9" s="17" t="inlineStr">
        <is>
          <t>лето</t>
        </is>
      </c>
      <c r="M9" s="22" t="inlineStr">
        <is>
          <t>сладкий: 100; вишневый: 70; фруктовый: 60,5; пудровый: 58,4; ореховый: 50; миндальный: 46</t>
        </is>
      </c>
      <c r="N9" s="22" t="inlineStr">
        <is>
          <t>На каждый день: 92,1; Прогулка: 69,1; Вечерние: 26,8; Свидание: 26,8; Спортзал: 15,5</t>
        </is>
      </c>
    </row>
    <row r="10" ht="54" customHeight="1" s="20">
      <c r="A10" s="5" t="inlineStr">
        <is>
          <t>049</t>
        </is>
      </c>
      <c r="B10" s="6" t="inlineStr">
        <is>
          <t>FLUIDE 49 DARK OPIUM 30 мл</t>
        </is>
      </c>
      <c r="C10" s="6" t="inlineStr">
        <is>
          <t>Yves Saint Laurent Black Opium</t>
        </is>
      </c>
      <c r="D10" s="7" t="n">
        <v>25</v>
      </c>
      <c r="E10" s="8">
        <f>100-D10</f>
        <v/>
      </c>
      <c r="F10" s="7" t="inlineStr">
        <is>
          <t>женский</t>
        </is>
      </c>
      <c r="G10" s="7" t="inlineStr">
        <is>
          <t>Люкс</t>
        </is>
      </c>
      <c r="I10" s="4" t="inlineStr">
        <is>
          <t>Eau de parfum</t>
        </is>
      </c>
      <c r="J10" s="21" t="inlineStr">
        <is>
          <t>Верхние: груша, розовый перец, цветок апельсина
Средние: кофе, жасмин, горький миндаль, лакрица
Базовые: ваниль, пачули, кашемировое дерево, кедр</t>
        </is>
      </c>
      <c r="K10" s="17" t="inlineStr">
        <is>
          <t>восточные гурманские</t>
        </is>
      </c>
      <c r="L10" s="17" t="inlineStr">
        <is>
          <t>зима</t>
        </is>
      </c>
      <c r="M10" s="22" t="inlineStr">
        <is>
          <t>ванильный: 100; кофейный: 87,1; сладкий: 83,1; белые цветы: 76,6; теплый пряный: 74,9; мягкий пряный: 65,6; древесный: 64,3; фруктовый: 62,1; бальзамический: 53,9; пудровый: 53,3</t>
        </is>
      </c>
      <c r="N10" s="22" t="inlineStr">
        <is>
          <t>Вечерние: 100; Свидание: 100; На каждый день: 51,5; Прогулка: 36,1; Спортзал: 0</t>
        </is>
      </c>
    </row>
    <row r="11" ht="54" customHeight="1" s="20">
      <c r="A11" s="5" t="inlineStr">
        <is>
          <t>146</t>
        </is>
      </c>
      <c r="B11" s="6" t="inlineStr">
        <is>
          <t>FLUIDE 146 FLORA 30 мл</t>
        </is>
      </c>
      <c r="C11" s="6" t="inlineStr">
        <is>
          <t>Gucci Flora by Gucci</t>
        </is>
      </c>
      <c r="D11" s="7" t="n">
        <v>30</v>
      </c>
      <c r="E11" s="8">
        <f>100-D11</f>
        <v/>
      </c>
      <c r="F11" s="7" t="inlineStr">
        <is>
          <t>женский</t>
        </is>
      </c>
      <c r="G11" s="7" t="inlineStr">
        <is>
          <t>Люкс</t>
        </is>
      </c>
      <c r="I11" s="4" t="inlineStr">
        <is>
          <t>Eau de extrait</t>
        </is>
      </c>
      <c r="J11" s="21" t="inlineStr">
        <is>
          <t>Верхние: пион, цитрусы, мандарин
Средние: османтус, роза
Базовые: сандал, пачули</t>
        </is>
      </c>
      <c r="K11" s="17" t="inlineStr">
        <is>
          <t>цветочные</t>
        </is>
      </c>
      <c r="L11" s="17" t="inlineStr">
        <is>
          <t>весна</t>
        </is>
      </c>
      <c r="M11" s="22" t="inlineStr">
        <is>
          <t>цветочный: 100; цитрусовый: 82,5; свежий: 79,4; розовый: 71,6; фруктовый: 58; древесный: 55,4; мягкий пряный: 50,6</t>
        </is>
      </c>
      <c r="N11" s="22" t="inlineStr">
        <is>
          <t>На каждый день: 96,4; Прогулка: 69,2; Вечерние: 51,3; Свидание: 51,3; Спортзал: 5,8</t>
        </is>
      </c>
    </row>
    <row r="12" ht="54" customHeight="1" s="20">
      <c r="A12" s="5" t="inlineStr">
        <is>
          <t>091</t>
        </is>
      </c>
      <c r="B12" s="6" t="inlineStr">
        <is>
          <t>FLUIDE 91 FRAICHE 30 мл</t>
        </is>
      </c>
      <c r="C12" s="6" t="inlineStr">
        <is>
          <t>Chanel Chance Eau Fraiche</t>
        </is>
      </c>
      <c r="D12" s="7" t="n">
        <v>30</v>
      </c>
      <c r="E12" s="8">
        <f>100-D12</f>
        <v/>
      </c>
      <c r="F12" s="7" t="inlineStr">
        <is>
          <t>женский</t>
        </is>
      </c>
      <c r="G12" s="7" t="inlineStr">
        <is>
          <t>Люкс</t>
        </is>
      </c>
      <c r="I12" s="4" t="inlineStr">
        <is>
          <t>Eau de extrait</t>
        </is>
      </c>
      <c r="J12" s="21" t="inlineStr">
        <is>
          <t>Верхние: лимон, кедр, цитрон
Средние: водяной гиацинт, розовый перец, жасмин
Базовые: белый мускус, пачули, ветивер, тиковое дерево, ирис, амбра</t>
        </is>
      </c>
      <c r="K12" s="17" t="inlineStr">
        <is>
          <t>шипровые цветочные</t>
        </is>
      </c>
      <c r="L12" s="17" t="inlineStr">
        <is>
          <t>весна, лето</t>
        </is>
      </c>
      <c r="M12" s="22" t="inlineStr">
        <is>
          <t>древесный: 100; цитрусовый: 96,8; фужерный: 62,1; цветочный: 55,1; мускусный: 53,3; пудровый: 53; землистый: 50,2; белые цветы: 47,7; пачулиевый: 46,6; свежий: 45,1</t>
        </is>
      </c>
      <c r="N12" s="22" t="inlineStr">
        <is>
          <t>На каждый день: 98,4; Прогулка: 85; Спортзал: 53,6; Вечерние: 19,6; Свидание: 19,6</t>
        </is>
      </c>
    </row>
    <row r="13" ht="54" customHeight="1" s="20">
      <c r="A13" s="5" t="inlineStr">
        <is>
          <t>027</t>
        </is>
      </c>
      <c r="B13" s="6" t="inlineStr">
        <is>
          <t>FLUIDE 27 GARDENIA 30 мл</t>
        </is>
      </c>
      <c r="C13" s="6" t="inlineStr">
        <is>
          <t>Gucci Flora Gorgeous Gardenia</t>
        </is>
      </c>
      <c r="D13" s="7" t="n">
        <v>35</v>
      </c>
      <c r="E13" s="8">
        <f>100-D13</f>
        <v/>
      </c>
      <c r="F13" s="7" t="inlineStr">
        <is>
          <t>женский</t>
        </is>
      </c>
      <c r="G13" s="7" t="inlineStr">
        <is>
          <t>Люкс</t>
        </is>
      </c>
      <c r="I13" s="4" t="inlineStr">
        <is>
          <t>Eau de extrait</t>
        </is>
      </c>
      <c r="J13" s="21" t="inlineStr">
        <is>
          <t>Верхние: цветок груши, красные ягоды, итальянский мандарин
Средние: гардения, жасмин, франжипани
Базовые: коричневый сахар, пачули</t>
        </is>
      </c>
      <c r="K13" s="17" t="inlineStr">
        <is>
          <t>цветочные</t>
        </is>
      </c>
      <c r="L13" s="17" t="inlineStr">
        <is>
          <t>весна</t>
        </is>
      </c>
      <c r="M13" s="22" t="inlineStr">
        <is>
          <t>белые цветы: 100; цветочный: 81,1; сладкий: 76,8; фруктовый: 68,4; лактонный: 53; пачулиевый: 52,8; цитрусовый: 50,2; свежий: 49,7</t>
        </is>
      </c>
      <c r="N13" s="22" t="inlineStr">
        <is>
          <t>На каждый день: 98,1; Прогулка: 73,2; Вечерние: 47,9; Свидание: 47,9; Спортзал: 15,3</t>
        </is>
      </c>
    </row>
    <row r="14" ht="54" customHeight="1" s="20">
      <c r="A14" s="5" t="inlineStr">
        <is>
          <t>017</t>
        </is>
      </c>
      <c r="B14" s="6" t="inlineStr">
        <is>
          <t>FLUIDE 17 IMPERATRICE 30 мл</t>
        </is>
      </c>
      <c r="C14" s="6" t="inlineStr">
        <is>
          <t>Dolce &amp; Gabbana 3 L'Imperatrice</t>
        </is>
      </c>
      <c r="D14" s="7" t="n">
        <v>30</v>
      </c>
      <c r="E14" s="8">
        <f>100-D14</f>
        <v/>
      </c>
      <c r="F14" s="7" t="inlineStr">
        <is>
          <t>женский</t>
        </is>
      </c>
      <c r="G14" s="7" t="inlineStr">
        <is>
          <t>Люкс</t>
        </is>
      </c>
      <c r="I14" s="4" t="inlineStr">
        <is>
          <t>Eau de extrait</t>
        </is>
      </c>
      <c r="J14" s="21" t="inlineStr">
        <is>
          <t>Верхние: киви, ревень, розовый перец
Средние: арбуз, цикламен, жасмин
Базовые: лимонное дерево, мускус, сандал</t>
        </is>
      </c>
      <c r="K14" s="17" t="inlineStr">
        <is>
          <t>цветочные водяные</t>
        </is>
      </c>
      <c r="L14" s="17" t="inlineStr">
        <is>
          <t>лето</t>
        </is>
      </c>
      <c r="M14" s="22" t="inlineStr">
        <is>
          <t>фруктовый: 100; озоновый: 88,5; акватический: 85,5; зеленый: 52,5; сладкий: 51,3; свежий: 50; тропический: 49,6; фужерный: 46,5; мускусный: 46,1</t>
        </is>
      </c>
      <c r="N14" s="22" t="inlineStr">
        <is>
          <t>На каждый день: 100; Прогулка: 81,8; Спортзал: 39,3; Вечерние: 25,1; Свидание: 25,1</t>
        </is>
      </c>
    </row>
    <row r="15" ht="54" customHeight="1" s="20">
      <c r="A15" s="5" t="inlineStr">
        <is>
          <t>029</t>
        </is>
      </c>
      <c r="B15" s="6" t="inlineStr">
        <is>
          <t>FLUIDE 29 LAC FEMME 30 мл</t>
        </is>
      </c>
      <c r="C15" s="6" t="inlineStr">
        <is>
          <t>Lacoste pour Femme</t>
        </is>
      </c>
      <c r="D15" s="7" t="n">
        <v>30</v>
      </c>
      <c r="E15" s="8">
        <f>100-D15</f>
        <v/>
      </c>
      <c r="F15" s="7" t="inlineStr">
        <is>
          <t>женский</t>
        </is>
      </c>
      <c r="G15" s="7" t="inlineStr">
        <is>
          <t>Люкс</t>
        </is>
      </c>
      <c r="I15" s="4" t="inlineStr">
        <is>
          <t>Eau de extrait</t>
        </is>
      </c>
      <c r="J15" s="21" t="inlineStr">
        <is>
          <t>Верхние: фрезия, перец, яблоко
Средние: фиалка, гелиотроп, жасмин, гибискус, роза
Базовые: замша, сандал, кедр, ладан, лабданум</t>
        </is>
      </c>
      <c r="K15" s="17" t="inlineStr">
        <is>
          <t>цветочные древесно-мускусные</t>
        </is>
      </c>
      <c r="L15" s="17" t="inlineStr">
        <is>
          <t>весна</t>
        </is>
      </c>
      <c r="M15" s="22" t="inlineStr">
        <is>
          <t>цветочный: 100; пудровый: 95,8; древесный: 78,4; свежий пряный: 76,2; теплый пряный: 62,4; кожаный: 60,6; мускусный: 57; фиалковый: 54,5; амбровый: 50,5; ванильный: 46,9</t>
        </is>
      </c>
      <c r="N15" s="22" t="inlineStr">
        <is>
          <t>На каждый день: 95,6; Прогулка: 77,7; Спортзал: 36,1; Свидание: 30,3; Вечерние: 29,2</t>
        </is>
      </c>
    </row>
    <row r="16" ht="54" customHeight="1" s="20">
      <c r="A16" s="5" t="inlineStr">
        <is>
          <t>141</t>
        </is>
      </c>
      <c r="B16" s="6" t="inlineStr">
        <is>
          <t>FLUIDE 141 LE SECRET 30 мл</t>
        </is>
      </c>
      <c r="C16" s="6" t="inlineStr">
        <is>
          <t>Givenchy Ange Ou Demon Le Secret</t>
        </is>
      </c>
      <c r="D16" s="7" t="n">
        <v>25</v>
      </c>
      <c r="E16" s="8">
        <f>100-D16</f>
        <v/>
      </c>
      <c r="F16" s="7" t="inlineStr">
        <is>
          <t>женский</t>
        </is>
      </c>
      <c r="G16" s="7" t="inlineStr">
        <is>
          <t>Люкс</t>
        </is>
      </c>
      <c r="I16" s="4" t="inlineStr">
        <is>
          <t>Eau de parfum</t>
        </is>
      </c>
      <c r="J16" s="21" t="inlineStr">
        <is>
          <t>Верхние: чай, клюква, амальфитанский лимон
Средние: пион, жасмин, водяная лилия
Базовые: древесные ноты, пачули</t>
        </is>
      </c>
      <c r="K16" s="17" t="inlineStr">
        <is>
          <t>цветочные</t>
        </is>
      </c>
      <c r="L16" s="17" t="inlineStr">
        <is>
          <t>весна</t>
        </is>
      </c>
      <c r="M16" s="22" t="inlineStr">
        <is>
          <t>свежий: 100; цветочный: 87,3; цитрусовый: 81,5; фруктовый: 73,3; зеленый: 68,7; белые цветы: 64,3; древесный: 60,4; свежий пряный: 52,7; розовый: 48; пачулиевый: 47,3</t>
        </is>
      </c>
      <c r="N16" s="22" t="inlineStr">
        <is>
          <t>На каждый день: 94,7; Прогулка: 66,3; Вечерние: 44,6; Свидание: 44,6; Спортзал: 0</t>
        </is>
      </c>
    </row>
    <row r="17" ht="54" customHeight="1" s="20">
      <c r="A17" s="5" t="inlineStr">
        <is>
          <t>018</t>
        </is>
      </c>
      <c r="B17" s="6" t="inlineStr">
        <is>
          <t>FLUIDE 18 LIGHT BLUE 30 мл</t>
        </is>
      </c>
      <c r="C17" s="6" t="inlineStr">
        <is>
          <t>Dolce &amp; Gabbana Light Blue</t>
        </is>
      </c>
      <c r="D17" s="7" t="n">
        <v>35</v>
      </c>
      <c r="E17" s="8">
        <f>100-D17</f>
        <v/>
      </c>
      <c r="F17" s="7" t="inlineStr">
        <is>
          <t>женский</t>
        </is>
      </c>
      <c r="G17" s="7" t="inlineStr">
        <is>
          <t>Люкс</t>
        </is>
      </c>
      <c r="I17" s="4" t="inlineStr">
        <is>
          <t>Eau de extrait</t>
        </is>
      </c>
      <c r="J17" s="21" t="inlineStr">
        <is>
          <t>Верхние: сицилийский лимон, яблоко, кедр, колокольчик
Средние: бамбук, жасмин, белая роза
Базовые: кедр, мускус, амбра</t>
        </is>
      </c>
      <c r="K17" s="17" t="inlineStr">
        <is>
          <t>цветочные фруктовые</t>
        </is>
      </c>
      <c r="L17" s="17" t="inlineStr">
        <is>
          <t>лето</t>
        </is>
      </c>
      <c r="M17" s="22" t="inlineStr">
        <is>
          <t>цитрусовый: 100; древесный: 74,5; свежий: 63; фруктовый: 58,5; фужерный: 54; мускусный: 49,5; пудровый: 46,8; зеленый: 44,3</t>
        </is>
      </c>
      <c r="N17" s="22" t="inlineStr">
        <is>
          <t>На каждый день: 100; Прогулка: 89,6; Спортзал: 65,3; Вечерние: 19; Свидание: 19</t>
        </is>
      </c>
    </row>
    <row r="18" ht="54" customHeight="1" s="20">
      <c r="A18" s="5" t="inlineStr">
        <is>
          <t>048</t>
        </is>
      </c>
      <c r="B18" s="6" t="inlineStr">
        <is>
          <t>FLUIDE 48 SCANDALOUS 30 мл</t>
        </is>
      </c>
      <c r="C18" s="6" t="inlineStr">
        <is>
          <t>Victoria's Secret Scandalous</t>
        </is>
      </c>
      <c r="D18" s="7" t="n">
        <v>30</v>
      </c>
      <c r="E18" s="8">
        <f>100-D18</f>
        <v/>
      </c>
      <c r="F18" s="7" t="inlineStr">
        <is>
          <t>женский</t>
        </is>
      </c>
      <c r="G18" s="7" t="inlineStr">
        <is>
          <t>Люкс</t>
        </is>
      </c>
      <c r="I18" s="4" t="inlineStr">
        <is>
          <t>Eau de extrait</t>
        </is>
      </c>
      <c r="J18" s="21" t="inlineStr">
        <is>
          <t>Верхние: малина
Средние: пион
Базовые: пралине</t>
        </is>
      </c>
      <c r="K18" s="17" t="inlineStr">
        <is>
          <t>цветочные фруктовые</t>
        </is>
      </c>
      <c r="L18" s="17" t="inlineStr">
        <is>
          <t>зима, осень</t>
        </is>
      </c>
      <c r="M18" s="22" t="inlineStr">
        <is>
          <t>сладкий: 100; фруктовый: 80,9; цветочный: 61,1; розовый: 55,7; свежий: 54,9</t>
        </is>
      </c>
      <c r="N18" s="22" t="inlineStr">
        <is>
          <t>Свидание: 100; Вечерние: 90,9; На каждый день: 81,8; Прогулка: 57,3; Спортзал: 0</t>
        </is>
      </c>
    </row>
    <row r="19" ht="54" customHeight="1" s="20">
      <c r="A19" s="5" t="inlineStr">
        <is>
          <t>047</t>
        </is>
      </c>
      <c r="B19" s="6" t="inlineStr">
        <is>
          <t>FLUIDE 47 SO SEXY 30 мл</t>
        </is>
      </c>
      <c r="C19" s="6" t="inlineStr">
        <is>
          <t>Victoria's Secret Eau So Sexy</t>
        </is>
      </c>
      <c r="D19" s="7" t="n">
        <v>35</v>
      </c>
      <c r="E19" s="8">
        <f>100-D19</f>
        <v/>
      </c>
      <c r="F19" s="7" t="inlineStr">
        <is>
          <t>женский</t>
        </is>
      </c>
      <c r="G19" s="7" t="inlineStr">
        <is>
          <t>Люкс</t>
        </is>
      </c>
      <c r="I19" s="4" t="inlineStr">
        <is>
          <t>Eau de extrait</t>
        </is>
      </c>
      <c r="J19" s="21" t="inlineStr">
        <is>
          <t>Основные: яблоко, взбитые сливки, бергамот</t>
        </is>
      </c>
      <c r="K19" s="17" t="inlineStr">
        <is>
          <t>цветочные фруктовые сладкие</t>
        </is>
      </c>
      <c r="L19" s="17" t="inlineStr">
        <is>
          <t>лето</t>
        </is>
      </c>
      <c r="M19" s="22" t="inlineStr">
        <is>
          <t>фруктовый: 100; сладкий: 84,1; ванильный: 76,3; цитрусовый: 75; свежий: 73,8; зеленый: 69,5; свежий пряный: 65,6; лактонный: 60,9</t>
        </is>
      </c>
      <c r="N19" s="22" t="inlineStr">
        <is>
          <t>На каждый день: 96,4; Прогулка: 75,6; Свидание: 53,4; Вечерние: 51,4; Спортзал: 27</t>
        </is>
      </c>
    </row>
    <row r="20" ht="54" customHeight="1" s="20">
      <c r="A20" s="5" t="inlineStr">
        <is>
          <t>020</t>
        </is>
      </c>
      <c r="B20" s="6" t="inlineStr">
        <is>
          <t>FLUIDE 20 TAJ SUNSET 30 мл</t>
        </is>
      </c>
      <c r="C20" s="6" t="inlineStr">
        <is>
          <t>Escada Taj Sunset</t>
        </is>
      </c>
      <c r="D20" s="7" t="n">
        <v>30</v>
      </c>
      <c r="E20" s="8">
        <f>100-D20</f>
        <v/>
      </c>
      <c r="F20" s="7" t="inlineStr">
        <is>
          <t>женский</t>
        </is>
      </c>
      <c r="G20" s="7" t="inlineStr">
        <is>
          <t>Люкс</t>
        </is>
      </c>
      <c r="I20" s="4" t="inlineStr">
        <is>
          <t>Eau de extrait</t>
        </is>
      </c>
      <c r="J20" s="21" t="inlineStr">
        <is>
          <t>Верхние: манго, нектарин, красный апельсин
Средние: малина, звездное яблоко, водяная лилия, лотос
Базовые: кокос, мускус, сандал</t>
        </is>
      </c>
      <c r="K20" s="17" t="inlineStr">
        <is>
          <t>цветочные фруктовые</t>
        </is>
      </c>
      <c r="L20" s="17" t="inlineStr">
        <is>
          <t>лето</t>
        </is>
      </c>
      <c r="M20" s="22" t="inlineStr">
        <is>
          <t>фруктовый: 100; сладкий: 89,4; тропический: 79,1; цитрусовый: 46,9; кокосовый: 42,9</t>
        </is>
      </c>
      <c r="N20" s="22" t="inlineStr">
        <is>
          <t>На каждый день: 85,8; Прогулка: 66,5; Вечерние: 27,8; Свидание: 27,8; Спортзал: 21,5</t>
        </is>
      </c>
    </row>
    <row r="21" ht="54" customHeight="1" s="20">
      <c r="A21" s="5" t="inlineStr">
        <is>
          <t>014</t>
        </is>
      </c>
      <c r="B21" s="6" t="inlineStr">
        <is>
          <t>FLUIDE 14 TENDER 30 мл</t>
        </is>
      </c>
      <c r="C21" s="6" t="inlineStr">
        <is>
          <t>Chanel Chance Eau Tendre</t>
        </is>
      </c>
      <c r="D21" s="7" t="n">
        <v>30</v>
      </c>
      <c r="E21" s="8">
        <f>100-D21</f>
        <v/>
      </c>
      <c r="F21" s="7" t="inlineStr">
        <is>
          <t>женский</t>
        </is>
      </c>
      <c r="G21" s="7" t="inlineStr">
        <is>
          <t>Люкс</t>
        </is>
      </c>
      <c r="I21" s="4" t="inlineStr">
        <is>
          <t>Eau de extrait</t>
        </is>
      </c>
      <c r="J21" s="21" t="inlineStr">
        <is>
          <t>Верхние: айва, грейпфрут
Средние: гиацинт, жасмин
Базовые: мускус, ирис, виргинский кедр, амбра</t>
        </is>
      </c>
      <c r="K21" s="17" t="inlineStr">
        <is>
          <t>цветочные фруктовые</t>
        </is>
      </c>
      <c r="L21" s="17" t="inlineStr">
        <is>
          <t>весна</t>
        </is>
      </c>
      <c r="M21" s="22" t="inlineStr">
        <is>
          <t>цветочный: 100; фруктовый: 83,2; цитрусовый: 80,2; сладкий: 73,3; свежий пряный: 70,3; пудровый: 69,5; белые цветы: 64,5; мускусный: 63,9; зеленый: 59,5; ирис: 58,5</t>
        </is>
      </c>
      <c r="N21" s="22" t="inlineStr">
        <is>
          <t>На каждый день: 97,2; Прогулка: 75,8; Вечерние: 34,4; Свидание: 34,4; Спортзал: 25,9</t>
        </is>
      </c>
    </row>
    <row r="22" ht="54" customHeight="1" s="20">
      <c r="A22" s="5" t="inlineStr">
        <is>
          <t>512</t>
        </is>
      </c>
      <c r="B22" s="6" t="inlineStr">
        <is>
          <t>FLUIDE 512 THANK U NEXT 30 мл</t>
        </is>
      </c>
      <c r="C22" s="6" t="inlineStr">
        <is>
          <t>Ariana Grande Thank U, Next</t>
        </is>
      </c>
      <c r="D22" s="7" t="n">
        <v>25</v>
      </c>
      <c r="E22" s="8">
        <f>100-D22</f>
        <v/>
      </c>
      <c r="F22" s="7" t="inlineStr">
        <is>
          <t>женский</t>
        </is>
      </c>
      <c r="G22" s="7" t="inlineStr">
        <is>
          <t>Люкс</t>
        </is>
      </c>
      <c r="I22" s="4" t="inlineStr">
        <is>
          <t>Eau de parfum</t>
        </is>
      </c>
      <c r="J22" s="21" t="inlineStr">
        <is>
          <t>Верхние: малина, груша
Средние: кокос, розовая роза
Базовые: макаруны, мускус</t>
        </is>
      </c>
      <c r="K22" s="17" t="inlineStr">
        <is>
          <t>цветочные фруктовые сладкие</t>
        </is>
      </c>
      <c r="L22" s="17" t="inlineStr">
        <is>
          <t>весна, лето</t>
        </is>
      </c>
      <c r="M22" s="22" t="inlineStr">
        <is>
          <t>сладкий: 100; кокосовый: 64,8; фруктовый: 58,6; ванильный: 51; розовый: 44,9; миндальный: 44,1</t>
        </is>
      </c>
      <c r="N22" s="22" t="inlineStr">
        <is>
          <t>На каждый день: 90; Свидание: 90; Вечерние: 80; Прогулка: 75; Спортзал: 40</t>
        </is>
      </c>
    </row>
    <row r="23" ht="54" customHeight="1" s="20">
      <c r="A23" s="5" t="inlineStr">
        <is>
          <t>509</t>
        </is>
      </c>
      <c r="B23" s="6" t="inlineStr">
        <is>
          <t>FLUIDE 509 THE ONLY ONE 30 мл</t>
        </is>
      </c>
      <c r="C23" s="6" t="inlineStr">
        <is>
          <t>Dolce &amp; Gabbana The Only One</t>
        </is>
      </c>
      <c r="D23" s="7" t="n">
        <v>30</v>
      </c>
      <c r="E23" s="8">
        <f>100-D23</f>
        <v/>
      </c>
      <c r="F23" s="7" t="inlineStr">
        <is>
          <t>женский</t>
        </is>
      </c>
      <c r="G23" s="7" t="inlineStr">
        <is>
          <t>Люкс</t>
        </is>
      </c>
      <c r="I23" s="4" t="inlineStr">
        <is>
          <t>Eau de parfum</t>
        </is>
      </c>
      <c r="J23" s="21" t="inlineStr">
        <is>
          <t>Верхние: фиалка, апельсин, бергамот
Средние: кофе, груша, ирис, цветок апельсина, роза
Базовые: карамель, ваниль, пачули</t>
        </is>
      </c>
      <c r="K23" s="17" t="inlineStr">
        <is>
          <t>восточные гурманские</t>
        </is>
      </c>
      <c r="L23" s="17" t="inlineStr">
        <is>
          <t>зима, осень</t>
        </is>
      </c>
      <c r="M23" s="22" t="inlineStr">
        <is>
          <t>карамельный: 100; сладкий: 94,2; пудровый: 92,4; фиалковый: 83,2; ванильный: 83; кофейный: 75,5; цитрусовый: 68,4; теплый пряный: 67,5; ирис: 62,3; древесный: 55,7</t>
        </is>
      </c>
      <c r="N23" s="22" t="inlineStr">
        <is>
          <t>Свидание: 100; На каждый день: 92,9; Вечерние: 90,6; Прогулка: 65; Спортзал: 0</t>
        </is>
      </c>
    </row>
    <row r="24" ht="54" customHeight="1" s="20">
      <c r="A24" s="5" t="inlineStr">
        <is>
          <t>500</t>
        </is>
      </c>
      <c r="B24" s="6" t="inlineStr">
        <is>
          <t>FLUIDE 500 VANILLA SAPHIRE 30 мл</t>
        </is>
      </c>
      <c r="C24" s="6" t="inlineStr">
        <is>
          <t>Victoria's Secret Vanilla Sapphire</t>
        </is>
      </c>
      <c r="D24" s="7" t="n">
        <v>22</v>
      </c>
      <c r="E24" s="8">
        <f>100-D24</f>
        <v/>
      </c>
      <c r="F24" s="7" t="inlineStr">
        <is>
          <t>женский</t>
        </is>
      </c>
      <c r="G24" s="7" t="inlineStr">
        <is>
          <t>Люкс</t>
        </is>
      </c>
      <c r="I24" s="4" t="inlineStr">
        <is>
          <t>Eau de parfum</t>
        </is>
      </c>
      <c r="J24" s="21" t="inlineStr">
        <is>
          <t>Основные: ваниль, кашмеран</t>
        </is>
      </c>
      <c r="K24" s="17" t="inlineStr">
        <is>
          <t>восточные гурманские</t>
        </is>
      </c>
      <c r="L24" s="17" t="inlineStr">
        <is>
          <t>зима, осень</t>
        </is>
      </c>
      <c r="M24" s="22" t="inlineStr">
        <is>
          <t>Нет страницы на Fragrantica</t>
        </is>
      </c>
      <c r="N24" s="22" t="inlineStr">
        <is>
          <t>Свидание: 95,8; Вечерние: 91,7; На каждый день: 79,2; Прогулка: 55,4; Спортзал: 0</t>
        </is>
      </c>
    </row>
    <row r="25" ht="54" customHeight="1" s="20">
      <c r="A25" s="5" t="inlineStr">
        <is>
          <t>541</t>
        </is>
      </c>
      <c r="B25" s="6" t="inlineStr">
        <is>
          <t>FLUIDE 541 Yara Elixir 30 мл</t>
        </is>
      </c>
      <c r="C25" s="6" t="inlineStr">
        <is>
          <t>Lattafa Yara Elixir</t>
        </is>
      </c>
      <c r="D25" s="7" t="n">
        <v>25</v>
      </c>
      <c r="E25" s="8">
        <f>100-D25</f>
        <v/>
      </c>
      <c r="F25" s="7" t="inlineStr">
        <is>
          <t>женский</t>
        </is>
      </c>
      <c r="G25" s="7" t="inlineStr">
        <is>
          <t>Люкс</t>
        </is>
      </c>
      <c r="I25" s="4" t="inlineStr">
        <is>
          <t>Eau de parfum</t>
        </is>
      </c>
      <c r="J25" s="21" t="inlineStr">
        <is>
          <t>Верхние: клубничный смор, черная смородина
Средние: жасмин, цветок апельсина
Базовые: ваниль, карамель, амбра, мускус</t>
        </is>
      </c>
      <c r="K25" s="17" t="inlineStr">
        <is>
          <t>восточные гурманские</t>
        </is>
      </c>
      <c r="L25" s="17" t="inlineStr">
        <is>
          <t>зима, весна, осень</t>
        </is>
      </c>
      <c r="M25" s="22" t="inlineStr">
        <is>
          <t>ванильный: 100; карамельный: 95,3; белые цветы: 82; сладкий: 80,8; пудровый: 72,2; фруктовый: 71,5; мускусный: 62,6; амбровый: 62,4; мягкий пряный: 54,8; животный: 53,9</t>
        </is>
      </c>
      <c r="N25" s="22" t="inlineStr">
        <is>
          <t>Свидание: 91,2; Вечерние: 90,2; На каждый день: 72,1; Прогулка: 50,4; Спортзал: 0</t>
        </is>
      </c>
    </row>
    <row r="26" ht="54" customHeight="1" s="20">
      <c r="A26" s="5" t="inlineStr">
        <is>
          <t>137</t>
        </is>
      </c>
      <c r="B26" s="6" t="inlineStr">
        <is>
          <t>FLUIDE 137 MY WAY 30 мл</t>
        </is>
      </c>
      <c r="C26" s="6" t="inlineStr">
        <is>
          <t>Giorgio Armani My Way</t>
        </is>
      </c>
      <c r="D26" s="7" t="n">
        <v>30</v>
      </c>
      <c r="E26" s="8">
        <f>100-D26</f>
        <v/>
      </c>
      <c r="F26" s="7" t="inlineStr">
        <is>
          <t>женский</t>
        </is>
      </c>
      <c r="G26" s="7" t="inlineStr">
        <is>
          <t>Суперлюкс</t>
        </is>
      </c>
      <c r="I26" s="4" t="inlineStr">
        <is>
          <t>Eau de extrait</t>
        </is>
      </c>
      <c r="J26" s="21" t="inlineStr">
        <is>
          <t>Верхние: цветок апельсина, бергамот
Средние: тубероза, индийский жасмин
Базовые: мадагаскарская ваниль, белый мускус, виргинский кедр</t>
        </is>
      </c>
      <c r="K26" s="17" t="inlineStr">
        <is>
          <t>цветочные</t>
        </is>
      </c>
      <c r="L26" s="17" t="inlineStr">
        <is>
          <t>весна</t>
        </is>
      </c>
      <c r="M26" s="22" t="inlineStr">
        <is>
          <t>белые цветы: 100; тубероза: 61; цитрусовый: 58,2; животный: 46,9; ванильный: 44,2</t>
        </is>
      </c>
      <c r="N26" s="22" t="inlineStr">
        <is>
          <t>На каждый день: 93,5; Вечерние: 67,6; Свидание: 67,6; Прогулка: 65,4; Спортзал: 0</t>
        </is>
      </c>
    </row>
    <row r="27" ht="54" customHeight="1" s="20">
      <c r="A27" s="5" t="inlineStr">
        <is>
          <t>334</t>
        </is>
      </c>
      <c r="B27" s="6" t="inlineStr">
        <is>
          <t>FLUIDE 334 AURUM 30 мл</t>
        </is>
      </c>
      <c r="C27" s="6" t="inlineStr">
        <is>
          <t>Ajmal Aurum</t>
        </is>
      </c>
      <c r="D27" s="7" t="n">
        <v>25</v>
      </c>
      <c r="E27" s="8">
        <f>100-D27</f>
        <v/>
      </c>
      <c r="F27" s="7" t="inlineStr">
        <is>
          <t>женский</t>
        </is>
      </c>
      <c r="G27" s="7" t="inlineStr">
        <is>
          <t>Селектив</t>
        </is>
      </c>
      <c r="I27" s="4" t="inlineStr">
        <is>
          <t>Eau de parfum</t>
        </is>
      </c>
      <c r="J27" s="21" t="inlineStr">
        <is>
          <t>Верхние: малина, лимон
Средние: фруктовые ноты, гардения, цветок апельсина, жасмин, пряные ноты
Базовые: пудровые ноты, ваниль, мускус, амбра, древесные ноты</t>
        </is>
      </c>
      <c r="K27" s="17" t="inlineStr">
        <is>
          <t>цветочные фруктовые</t>
        </is>
      </c>
      <c r="L27" s="17" t="inlineStr">
        <is>
          <t>осень</t>
        </is>
      </c>
      <c r="M27" s="22" t="inlineStr">
        <is>
          <t>белые цветы: 100; фруктовый: 95,9; сладкий: 82,3; пудровый: 69,3; цитрусовый: 54,5; ванильный: 50,8; мускусный: 47,7; животный: 46,7; амбровый: 46,7</t>
        </is>
      </c>
      <c r="N27" s="22" t="inlineStr">
        <is>
          <t>Свидание: 100; Вечерние: 95,2; На каждый день: 90,5; Прогулка: 63,3; Спортзал: 0</t>
        </is>
      </c>
    </row>
    <row r="28" ht="54" customHeight="1" s="20">
      <c r="A28" s="5" t="inlineStr">
        <is>
          <t>507</t>
        </is>
      </c>
      <c r="B28" s="6" t="inlineStr">
        <is>
          <t>FLUIDE 507 CRYSTAL LOVE 30 мл</t>
        </is>
      </c>
      <c r="C28" s="6" t="inlineStr">
        <is>
          <t>Attar Collection Crystal Love</t>
        </is>
      </c>
      <c r="D28" s="7" t="n">
        <v>25</v>
      </c>
      <c r="E28" s="8">
        <f>100-D28</f>
        <v/>
      </c>
      <c r="F28" s="7" t="inlineStr">
        <is>
          <t>женский</t>
        </is>
      </c>
      <c r="G28" s="7" t="inlineStr">
        <is>
          <t>Селектив</t>
        </is>
      </c>
      <c r="I28" s="4" t="inlineStr">
        <is>
          <t>Eau de parfum</t>
        </is>
      </c>
      <c r="J28" s="21" t="inlineStr">
        <is>
          <t>Верхние: фрукты, роза
Средние: молочный шоколад, белый мускус, мускатный орех
Базовые: бурбонская ваниль, бобы тонка</t>
        </is>
      </c>
      <c r="K28" s="17" t="inlineStr">
        <is>
          <t>восточные гурманские</t>
        </is>
      </c>
      <c r="L28" s="17" t="inlineStr">
        <is>
          <t>зима, осень</t>
        </is>
      </c>
      <c r="M28" s="22" t="inlineStr">
        <is>
          <t>ванильный: 100; сладкий: 78; пудровый: 61,7; мускусный: 58,5; шоколад: 58,3; теплый пряный: 52,8; фруктовый: 50,7; свежий пряный: 47,7</t>
        </is>
      </c>
      <c r="N28" s="22" t="inlineStr">
        <is>
          <t>Вечерние: 87,5; Свидание: 87,5; На каждый день: 78,1; Прогулка: 54,7; Спортзал: 0</t>
        </is>
      </c>
    </row>
    <row r="29" ht="54" customHeight="1" s="20">
      <c r="A29" s="5" t="inlineStr">
        <is>
          <t>028</t>
        </is>
      </c>
      <c r="B29" s="6" t="inlineStr">
        <is>
          <t>FLUIDE 28 DEVIL'S INTRIGUE 30 мл</t>
        </is>
      </c>
      <c r="C29" s="6" t="inlineStr">
        <is>
          <t>Haute Fragrance Company Devil's Intrigue</t>
        </is>
      </c>
      <c r="D29" s="7" t="n">
        <v>25</v>
      </c>
      <c r="E29" s="8">
        <f>100-D29</f>
        <v/>
      </c>
      <c r="F29" s="7" t="inlineStr">
        <is>
          <t>женский</t>
        </is>
      </c>
      <c r="G29" s="7" t="inlineStr">
        <is>
          <t>Селектив</t>
        </is>
      </c>
      <c r="I29" s="4" t="inlineStr">
        <is>
          <t>Eau de parfum</t>
        </is>
      </c>
      <c r="J29" s="21" t="inlineStr">
        <is>
          <t>Верхние: османтус, белый чай
Средние: сандал, цветок апельсина
Базовые: ваниль, кашмеран, древесные ноты</t>
        </is>
      </c>
      <c r="K29" s="17" t="inlineStr">
        <is>
          <t>цветочные древесно-мускусные</t>
        </is>
      </c>
      <c r="L29" s="17" t="inlineStr">
        <is>
          <t>зима, осень</t>
        </is>
      </c>
      <c r="M29" s="22" t="inlineStr">
        <is>
          <t>древесный: 100; пудровый: 69,3; цветочный: 63,7; ванильный: 63,3; фруктовый: 60; белые цветы: 51,1; мускусный: 47; зеленый: 46,7; мягкий пряный: 44,6</t>
        </is>
      </c>
      <c r="N29" s="22" t="inlineStr">
        <is>
          <t>На каждый день: 100; Свидание: 85,7; Вечерние: 76,2; Прогулка: 70; Спортзал: 0</t>
        </is>
      </c>
    </row>
    <row r="30" ht="54" customHeight="1" s="20">
      <c r="A30" s="5" t="inlineStr">
        <is>
          <t>057</t>
        </is>
      </c>
      <c r="B30" s="6" t="inlineStr">
        <is>
          <t>FLUIDE 57 FANTASIA 30 мл</t>
        </is>
      </c>
      <c r="C30" s="6" t="inlineStr">
        <is>
          <t>Anna Sui Fantasia</t>
        </is>
      </c>
      <c r="D30" s="7" t="n">
        <v>25</v>
      </c>
      <c r="E30" s="8">
        <f>100-D30</f>
        <v/>
      </c>
      <c r="F30" s="7" t="inlineStr">
        <is>
          <t>женский</t>
        </is>
      </c>
      <c r="G30" s="7" t="inlineStr">
        <is>
          <t>Селектив</t>
        </is>
      </c>
      <c r="I30" s="4" t="inlineStr">
        <is>
          <t>Eau de parfum</t>
        </is>
      </c>
      <c r="J30" s="21" t="inlineStr">
        <is>
          <t>Верхние: помело, розовый перец
Средние: пралине, малина, цветочные ноты
Базовые: кипарис, гималайский кедр</t>
        </is>
      </c>
      <c r="K30" s="17" t="inlineStr">
        <is>
          <t>цветочные фруктовые сладкие</t>
        </is>
      </c>
      <c r="L30" s="17" t="inlineStr">
        <is>
          <t>весна</t>
        </is>
      </c>
      <c r="M30" s="22" t="inlineStr">
        <is>
          <t>сладкий: 100; цитрусовый: 64,5; древесный: 63; фруктовый: 58,3; фужерный: 51,6; свежий пряный: 49; лактонный: 45,5</t>
        </is>
      </c>
      <c r="N30" s="22" t="inlineStr">
        <is>
          <t>На каждый день: 100; Прогулка: 80,9; Вечерние: 36,4; Свидание: 36,4; Спортзал: 36,4</t>
        </is>
      </c>
    </row>
    <row r="31" ht="54" customHeight="1" s="20">
      <c r="A31" s="5" t="inlineStr">
        <is>
          <t>523</t>
        </is>
      </c>
      <c r="B31" s="6" t="inlineStr">
        <is>
          <t>FLUIDE 523 INDIAN VENUS 30 мл</t>
        </is>
      </c>
      <c r="C31" s="6" t="inlineStr">
        <is>
          <t>Haute Fragrance Company Indian Venus</t>
        </is>
      </c>
      <c r="D31" s="7" t="n">
        <v>20</v>
      </c>
      <c r="E31" s="8">
        <f>100-D31</f>
        <v/>
      </c>
      <c r="F31" s="7" t="inlineStr">
        <is>
          <t>женский</t>
        </is>
      </c>
      <c r="G31" s="7" t="inlineStr">
        <is>
          <t>Селектив</t>
        </is>
      </c>
      <c r="I31" s="4" t="inlineStr">
        <is>
          <t>Eau de parfum</t>
        </is>
      </c>
      <c r="J31" s="21" t="inlineStr">
        <is>
          <t>Верхние: древесные ноты, цветок апельсина, лабданум
Средние: белый сандал, белые цветы, кедр
Базовые: коричневый сахар, древесные ноты, мускус</t>
        </is>
      </c>
      <c r="K31" s="17" t="inlineStr">
        <is>
          <t>цветочные древесно-мускусные</t>
        </is>
      </c>
      <c r="L31" s="17" t="inlineStr">
        <is>
          <t>осень</t>
        </is>
      </c>
      <c r="M31" s="22" t="inlineStr">
        <is>
          <t>древесный: 100; белые цветы: 77,9; сладкий: 77,6; мускусный: 59,4; пудровый: 57,9; амбровый: 46,3</t>
        </is>
      </c>
      <c r="N31" s="22" t="inlineStr">
        <is>
          <t>Свидание: 100; На каждый день: 80; Вечерние: 80; Прогулка: 56; Спортзал: 0</t>
        </is>
      </c>
    </row>
    <row r="32" ht="54" customHeight="1" s="20">
      <c r="A32" s="5" t="inlineStr">
        <is>
          <t>173</t>
        </is>
      </c>
      <c r="B32" s="6" t="inlineStr">
        <is>
          <t>FLUIDE 173 KIL GOOD GIRL 30 мл</t>
        </is>
      </c>
      <c r="C32" s="6" t="inlineStr">
        <is>
          <t>By Kilian Good Girl Gone Bad</t>
        </is>
      </c>
      <c r="D32" s="7" t="n">
        <v>22</v>
      </c>
      <c r="E32" s="8">
        <f>100-D32</f>
        <v/>
      </c>
      <c r="F32" s="7" t="inlineStr">
        <is>
          <t>женский</t>
        </is>
      </c>
      <c r="G32" s="7" t="inlineStr">
        <is>
          <t>Селектив</t>
        </is>
      </c>
      <c r="I32" s="4" t="inlineStr">
        <is>
          <t>Eau de parfum</t>
        </is>
      </c>
      <c r="J32" s="21" t="inlineStr">
        <is>
          <t>Верхние: османтус, персик, нероли, бергамот, мандарин, корица
Средние: индийская тубероза, жасмин, нарцисс, майская роза
Базовые: амбра, кедр, сандал, пачули, ветивер</t>
        </is>
      </c>
      <c r="K32" s="17" t="inlineStr">
        <is>
          <t>цветочные фруктовые</t>
        </is>
      </c>
      <c r="L32" s="17" t="inlineStr">
        <is>
          <t>весна</t>
        </is>
      </c>
      <c r="M32" s="22" t="inlineStr">
        <is>
          <t>цветочный: 100; белые цветы: 96,9; фруктовый: 86,9; тубероза: 74,4; желтые цветы: 55,9; древесный: 55,6; зеленый: 53,7; розовый: 51,4; мягкий пряный: 49,8; лактонный: 49,1</t>
        </is>
      </c>
      <c r="N32" s="22" t="inlineStr">
        <is>
          <t>На каждый день: 100; Прогулка: 70; Вечерние: 63,9; Свидание: 63,9; Спортзал: 0</t>
        </is>
      </c>
    </row>
    <row r="33" ht="54" customHeight="1" s="20">
      <c r="A33" s="5" t="inlineStr">
        <is>
          <t>002</t>
        </is>
      </c>
      <c r="B33" s="6" t="inlineStr">
        <is>
          <t>FLUIDE 2 LUCKY WISH 30 мл</t>
        </is>
      </c>
      <c r="C33" s="6" t="inlineStr">
        <is>
          <t>Anna Sui Lucky Wish</t>
        </is>
      </c>
      <c r="D33" s="7" t="n">
        <v>30</v>
      </c>
      <c r="E33" s="8">
        <f>100-D33</f>
        <v/>
      </c>
      <c r="F33" s="7" t="inlineStr">
        <is>
          <t>женский</t>
        </is>
      </c>
      <c r="G33" s="7" t="inlineStr">
        <is>
          <t>Селектив</t>
        </is>
      </c>
      <c r="I33" s="4" t="inlineStr">
        <is>
          <t>Eau de extrait</t>
        </is>
      </c>
      <c r="J33" s="21" t="inlineStr">
        <is>
          <t>Верхние: ледяной лимон, танжерин, помело
Средние: бамбук, фрезия, орхидея, цветок апельсина
Базовые: мускус, сандал, амбра</t>
        </is>
      </c>
      <c r="K33" s="17" t="inlineStr">
        <is>
          <t>цветочные фруктовые</t>
        </is>
      </c>
      <c r="L33" s="17" t="inlineStr">
        <is>
          <t>весна, лето</t>
        </is>
      </c>
      <c r="M33" s="22" t="inlineStr">
        <is>
          <t>цитрусовый: 100; цветочный: 51,1; сладкий: 47,4; древесный: 46,6; белые цветы: 41,8</t>
        </is>
      </c>
      <c r="N33" s="22" t="inlineStr">
        <is>
          <t>На каждый день: 100; Прогулка: 82,5; Спортзал: 41,7; Вечерние: 25; Свидание: 25</t>
        </is>
      </c>
    </row>
    <row r="34" ht="54" customHeight="1" s="20">
      <c r="A34" s="5" t="inlineStr">
        <is>
          <t>148</t>
        </is>
      </c>
      <c r="B34" s="6" t="inlineStr">
        <is>
          <t>FLUIDE 148 MANDARINE BASILIC 30 мл</t>
        </is>
      </c>
      <c r="C34" s="6" t="inlineStr">
        <is>
          <t>Guerlain Aqua Allegoria Mandarine Basilic</t>
        </is>
      </c>
      <c r="D34" s="7" t="n">
        <v>22</v>
      </c>
      <c r="E34" s="8">
        <f>100-D34</f>
        <v/>
      </c>
      <c r="F34" s="7" t="inlineStr">
        <is>
          <t>женский</t>
        </is>
      </c>
      <c r="G34" s="7" t="inlineStr">
        <is>
          <t>Селектив</t>
        </is>
      </c>
      <c r="I34" s="4" t="inlineStr">
        <is>
          <t>Eau de parfum</t>
        </is>
      </c>
      <c r="J34" s="21" t="inlineStr">
        <is>
          <t>Верхние: клементин, горький апельсин, цветок апельсина, зеленый чай, плющ
Средние: мандарин, базилик, ромашка, пион
Базовые: сандал, амбра</t>
        </is>
      </c>
      <c r="K34" s="17" t="inlineStr">
        <is>
          <t>цитрусовые фужерные</t>
        </is>
      </c>
      <c r="L34" s="17" t="inlineStr">
        <is>
          <t>лето</t>
        </is>
      </c>
      <c r="M34" s="22" t="inlineStr">
        <is>
          <t>цитрусовый: 100; свежий пряный: 54,9; зеленый: 54,1; фужерный: 46,8; свежий: 46,3; сладкий: 45,2</t>
        </is>
      </c>
      <c r="N34" s="22" t="inlineStr">
        <is>
          <t>На каждый день: 80; Прогулка: 74; Спортзал: 60; Свидание: 40; Вечерние: 20</t>
        </is>
      </c>
    </row>
    <row r="35" ht="54" customHeight="1" s="20">
      <c r="A35" s="5" t="inlineStr">
        <is>
          <t>518</t>
        </is>
      </c>
      <c r="B35" s="6" t="inlineStr">
        <is>
          <t>FLUIDE 518 MELIORA 30 мл</t>
        </is>
      </c>
      <c r="C35" s="6" t="inlineStr">
        <is>
          <t>Parfums de Marly Meliora</t>
        </is>
      </c>
      <c r="D35" s="7" t="n">
        <v>20</v>
      </c>
      <c r="E35" s="8">
        <f>100-D35</f>
        <v/>
      </c>
      <c r="F35" s="7" t="inlineStr">
        <is>
          <t>женский</t>
        </is>
      </c>
      <c r="G35" s="7" t="inlineStr">
        <is>
          <t>Селектив</t>
        </is>
      </c>
      <c r="I35" s="4" t="inlineStr">
        <is>
          <t>Eau de parfum</t>
        </is>
      </c>
      <c r="J35" s="21" t="inlineStr">
        <is>
          <t>Верхние: черная смородина, красные ягоды, черная смородина, малина, цветок апельсина
Средние: роза, ландыш, иланг-иланг
Базовые: мускус, ваниль, миндаль, древесные ноты</t>
        </is>
      </c>
      <c r="K35" s="17" t="inlineStr">
        <is>
          <t>цветочные зеленые</t>
        </is>
      </c>
      <c r="L35" s="17" t="inlineStr">
        <is>
          <t>весна</t>
        </is>
      </c>
      <c r="M35" s="22" t="inlineStr">
        <is>
          <t>фруктовый: 100; мягкий пряный: 54,9; свежий: 54,4; зеленый: 53; фужерный: 52,9; сладкий: 51,1; древесный: 48,8</t>
        </is>
      </c>
      <c r="N35" s="22" t="inlineStr">
        <is>
          <t>На каждый день: 100; Прогулка: 70; Вечерние: 54,4; Свидание: 54,4; Спортзал: 0</t>
        </is>
      </c>
    </row>
    <row r="36" ht="54" customHeight="1" s="20">
      <c r="A36" s="5" t="inlineStr">
        <is>
          <t>090</t>
        </is>
      </c>
      <c r="B36" s="6" t="inlineStr">
        <is>
          <t>FLUIDE 90 ALLURE HOME SPORT 30 мл</t>
        </is>
      </c>
      <c r="C36" s="6" t="inlineStr">
        <is>
          <t>Chanel Allure Homme Sport</t>
        </is>
      </c>
      <c r="D36" s="7" t="n">
        <v>25</v>
      </c>
      <c r="E36" s="8">
        <f>100-D36</f>
        <v/>
      </c>
      <c r="F36" s="7" t="inlineStr">
        <is>
          <t>мужской</t>
        </is>
      </c>
      <c r="G36" s="7" t="inlineStr">
        <is>
          <t>Люкс</t>
        </is>
      </c>
      <c r="I36" s="4" t="inlineStr">
        <is>
          <t>Eau de parfum</t>
        </is>
      </c>
      <c r="J36" s="21" t="inlineStr">
        <is>
          <t>Верхние: апельсин, морские ноты, альдегиды, красный мандарин
Средние: перец, нероли, кедр
Базовые: ваниль, бобы тонка, белый мускус, амбра, ветивер, смола элеми</t>
        </is>
      </c>
      <c r="K36" s="17" t="inlineStr">
        <is>
          <t>древесные пряные</t>
        </is>
      </c>
      <c r="L36" s="17" t="inlineStr">
        <is>
          <t>лето</t>
        </is>
      </c>
      <c r="M36" s="22" t="inlineStr">
        <is>
          <t>цитрусовый: 100; фужерный: 68,6; ванильный: 67; альдегидный: 66,3; морской: 62,4; сладкий: 57,7; свежий пряный: 53,9; свежий: 51,6; амбровый: 48,9; пудровый: 46,2</t>
        </is>
      </c>
      <c r="N36" s="22" t="inlineStr">
        <is>
          <t>На каждый день: 99,4; Прогулка: 94,3; Спортзал: 82,1; Вечерние: 34,2; Свидание: 34,2</t>
        </is>
      </c>
    </row>
    <row r="37" ht="54" customHeight="1" s="20">
      <c r="A37" s="5" t="inlineStr">
        <is>
          <t>070</t>
        </is>
      </c>
      <c r="B37" s="6" t="inlineStr">
        <is>
          <t>FLUIDE 70 ATLANTIKA 30 мл</t>
        </is>
      </c>
      <c r="C37" s="6" t="inlineStr">
        <is>
          <t>Bvlgari Aqva Pour Homme Atlantiqve</t>
        </is>
      </c>
      <c r="D37" s="7" t="n">
        <v>25</v>
      </c>
      <c r="E37" s="8">
        <f>100-D37</f>
        <v/>
      </c>
      <c r="F37" s="7" t="inlineStr">
        <is>
          <t>мужской</t>
        </is>
      </c>
      <c r="G37" s="7" t="inlineStr">
        <is>
          <t>Люкс</t>
        </is>
      </c>
      <c r="I37" s="4" t="inlineStr">
        <is>
          <t>Eau de parfum</t>
        </is>
      </c>
      <c r="J37" s="21" t="inlineStr">
        <is>
          <t>Верхние: водные ноты, калабрийский бергамот, сицилийский лимон, шалфей
Средние: морские ноты, амбра, яблоко
Базовые: бензоин, амбровое дерево, ветивер, пачули, сандал</t>
        </is>
      </c>
      <c r="K37" s="17" t="inlineStr">
        <is>
          <t>древесные водяные</t>
        </is>
      </c>
      <c r="L37" s="17" t="inlineStr">
        <is>
          <t>лето</t>
        </is>
      </c>
      <c r="M37" s="22" t="inlineStr">
        <is>
          <t>амбровый: 100; фужерный: 89,7; акватический: 83,7; морской: 79,2; цитрусовый: 72,4; древесный: 65,1; свежий: 62,2; животный: 57,2; соленый: 53,3; бальзамический: 51,1</t>
        </is>
      </c>
      <c r="N37" s="22" t="inlineStr">
        <is>
          <t>На каждый день: 100; Прогулка: 92,7; Спортзал: 75,6; Свидание: 27,9; Вечерние: 20,9</t>
        </is>
      </c>
    </row>
    <row r="38" ht="54" customHeight="1" s="20">
      <c r="A38" s="5" t="inlineStr">
        <is>
          <t>152</t>
        </is>
      </c>
      <c r="B38" s="6" t="inlineStr">
        <is>
          <t>FLUIDE 152 BALDESSARINI AMBRE 30 мл</t>
        </is>
      </c>
      <c r="C38" s="6" t="inlineStr">
        <is>
          <t>Baldessarini Ambre</t>
        </is>
      </c>
      <c r="D38" s="7" t="n">
        <v>25</v>
      </c>
      <c r="E38" s="8">
        <f>100-D38</f>
        <v/>
      </c>
      <c r="F38" s="7" t="inlineStr">
        <is>
          <t>мужской</t>
        </is>
      </c>
      <c r="G38" s="7" t="inlineStr">
        <is>
          <t>Люкс</t>
        </is>
      </c>
      <c r="I38" s="4" t="inlineStr">
        <is>
          <t>Eau de parfum</t>
        </is>
      </c>
      <c r="J38" s="21" t="inlineStr">
        <is>
          <t>Верхние: красное яблоко, мандарин, виски
Средние: кожа, фиалка
Базовые: амбра, дуб, ваниль, лабданум</t>
        </is>
      </c>
      <c r="K38" s="17" t="inlineStr">
        <is>
          <t>восточные древесные</t>
        </is>
      </c>
      <c r="L38" s="17" t="inlineStr">
        <is>
          <t>осень</t>
        </is>
      </c>
      <c r="M38" s="22" t="inlineStr">
        <is>
          <t>амбровый: 100; древесный: 71; кожаный: 70,5; фруктовый: 64,6; животный: 61,2; пудровый: 57,4; ванильный: 55,7; сладкий: 51,7; цитрусовый: 47,4; фиалковый: 46,3</t>
        </is>
      </c>
      <c r="N38" s="22" t="inlineStr">
        <is>
          <t>Свидание: 100; Вечерние: 83,1; На каждый день: 74,7; Прогулка: 52,3; Спортзал: 0</t>
        </is>
      </c>
    </row>
    <row r="39" ht="54" customHeight="1" s="20">
      <c r="A39" s="5" t="inlineStr">
        <is>
          <t>035</t>
        </is>
      </c>
      <c r="B39" s="6" t="inlineStr">
        <is>
          <t>FLUIDE 35 BLACK XS L'EXCES 30 мл</t>
        </is>
      </c>
      <c r="C39" s="6" t="inlineStr">
        <is>
          <t>Paco Rabanne Black XS L´Exces</t>
        </is>
      </c>
      <c r="D39" s="7" t="n">
        <v>30</v>
      </c>
      <c r="E39" s="8">
        <f>100-D39</f>
        <v/>
      </c>
      <c r="F39" s="7" t="inlineStr">
        <is>
          <t>мужской</t>
        </is>
      </c>
      <c r="G39" s="7" t="inlineStr">
        <is>
          <t>Люкс</t>
        </is>
      </c>
      <c r="I39" s="4" t="inlineStr">
        <is>
          <t>Eau de extrait</t>
        </is>
      </c>
      <c r="J39" s="21" t="inlineStr">
        <is>
          <t>Верхние: амальфитанский лимон, лаванда
Средние: масло циприола или нагармота, морские ноты
Базовые: амбра, пачули</t>
        </is>
      </c>
      <c r="K39" s="17" t="inlineStr">
        <is>
          <t>древесные фужерные</t>
        </is>
      </c>
      <c r="L39" s="17" t="inlineStr">
        <is>
          <t>зима, весна, осень</t>
        </is>
      </c>
      <c r="M39" s="22" t="inlineStr">
        <is>
          <t>цитрусовый: 100; древесный: 99; амбровый: 87,6; землистый: 83,7; пачулиевый: 83,3; фужерный: 82,6; лаванда: 71,4; теплый пряный: 56,6; морской: 55,1; бальзамический: 46</t>
        </is>
      </c>
      <c r="N39" s="22" t="inlineStr">
        <is>
          <t>Вечерние: 100; Свидание: 100; На каждый день: 59,4; Прогулка: 41,6; Спортзал: 0</t>
        </is>
      </c>
    </row>
    <row r="40" ht="54" customHeight="1" s="20">
      <c r="A40" s="5" t="inlineStr">
        <is>
          <t>012</t>
        </is>
      </c>
      <c r="B40" s="6" t="inlineStr">
        <is>
          <t>FLUIDE 12 BLUE DE CHAN 30 мл</t>
        </is>
      </c>
      <c r="C40" s="6" t="inlineStr">
        <is>
          <t>Chanel Bleu de Chanel</t>
        </is>
      </c>
      <c r="D40" s="7" t="n">
        <v>30</v>
      </c>
      <c r="E40" s="8">
        <f>100-D40</f>
        <v/>
      </c>
      <c r="F40" s="7" t="inlineStr">
        <is>
          <t>мужской</t>
        </is>
      </c>
      <c r="G40" s="7" t="inlineStr">
        <is>
          <t>Люкс</t>
        </is>
      </c>
      <c r="I40" s="4" t="inlineStr">
        <is>
          <t>Eau de extrait</t>
        </is>
      </c>
      <c r="J40" s="21" t="inlineStr">
        <is>
          <t>Верхние: грейпфрут, лимон, мята, розовый перец
Средние: имбирь, мускатный орех, жасмин, изо е супер
Базовые: ладан, кедр, ветивер, сандал, пачули, лабданум, белый мускус</t>
        </is>
      </c>
      <c r="K40" s="17" t="inlineStr">
        <is>
          <t>древесные фужерные</t>
        </is>
      </c>
      <c r="L40" s="17" t="inlineStr">
        <is>
          <t>весна, лето</t>
        </is>
      </c>
      <c r="M40" s="22" t="inlineStr">
        <is>
          <t>цитрусовый: 100; древесный: 82,1; свежий пряный: 80,3; фужерный: 69,9; амбровый: 66,8; дымный: 52,7; бальзамический: 50,3; теплый пряный: 50,1; зеленый: 49,7; свежий: 48,9</t>
        </is>
      </c>
      <c r="N40" s="22" t="inlineStr">
        <is>
          <t>На каждый день: 96,4; Прогулка: 78,9; Свидание: 54,1; Вечерние: 52,9; Спортзал: 38,1</t>
        </is>
      </c>
    </row>
    <row r="41" ht="54" customHeight="1" s="20">
      <c r="A41" s="5" t="inlineStr">
        <is>
          <t>003</t>
        </is>
      </c>
      <c r="B41" s="6" t="inlineStr">
        <is>
          <t>FLUIDE 3 BLUE SEDUCTION 30 мл</t>
        </is>
      </c>
      <c r="C41" s="6" t="inlineStr">
        <is>
          <t>Antonio Banderas Blue Seduction For Man</t>
        </is>
      </c>
      <c r="D41" s="7" t="n">
        <v>35</v>
      </c>
      <c r="E41" s="8">
        <f>100-D41</f>
        <v/>
      </c>
      <c r="F41" s="7" t="inlineStr">
        <is>
          <t>мужской</t>
        </is>
      </c>
      <c r="G41" s="7" t="inlineStr">
        <is>
          <t>Люкс</t>
        </is>
      </c>
      <c r="I41" s="4" t="inlineStr">
        <is>
          <t>Eau de extrait</t>
        </is>
      </c>
      <c r="J41" s="21" t="inlineStr">
        <is>
          <t>Верхние: дыня, бергамот, мята, черная смородина
Средние: морская вода, зеленое яблоко, капучино, кардамон, мускатный орех
Базовые: древесные ноты, амбра</t>
        </is>
      </c>
      <c r="K41" s="17" t="inlineStr">
        <is>
          <t>цветочные водяные</t>
        </is>
      </c>
      <c r="L41" s="17" t="inlineStr">
        <is>
          <t>лето</t>
        </is>
      </c>
      <c r="M41" s="22" t="inlineStr">
        <is>
          <t>фруктовый: 100; свежий: 84,9; белые цветы: 81,2; сладкий: 80; акватический: 79,8; озоновый: 74,3; цитрусовый: 67,2; цветочный: 66,2; розовый: 59,2; пачулиевый: 54,2</t>
        </is>
      </c>
      <c r="N41" s="22" t="inlineStr">
        <is>
          <t>На каждый день: 97,7; Прогулка: 93; Спортзал: 81,8; Свидание: 22,7; Вечерние: 19,7</t>
        </is>
      </c>
    </row>
    <row r="42" ht="54" customHeight="1" s="20">
      <c r="A42" s="5" t="inlineStr">
        <is>
          <t>153</t>
        </is>
      </c>
      <c r="B42" s="6" t="inlineStr">
        <is>
          <t>FLUIDE 153 BOTTLED 30 мл</t>
        </is>
      </c>
      <c r="C42" s="6" t="inlineStr">
        <is>
          <t>Hugo Boss Bottled</t>
        </is>
      </c>
      <c r="D42" s="7" t="n">
        <v>25</v>
      </c>
      <c r="E42" s="8">
        <f>100-D42</f>
        <v/>
      </c>
      <c r="F42" s="7" t="inlineStr">
        <is>
          <t>мужской</t>
        </is>
      </c>
      <c r="G42" s="7" t="inlineStr">
        <is>
          <t>Люкс</t>
        </is>
      </c>
      <c r="I42" s="4" t="inlineStr">
        <is>
          <t>Eau de parfum</t>
        </is>
      </c>
      <c r="J42" s="21" t="inlineStr">
        <is>
          <t>Верхние: яблоко, слива, бергамот, лимон, дубовый мох, герань
Средние: корица, красное дерево, гвоздика
Базовые: ваниль, сандал, кедр, ветивер, оливковое дерево</t>
        </is>
      </c>
      <c r="K42" s="17" t="inlineStr">
        <is>
          <t>древесные пряные</t>
        </is>
      </c>
      <c r="L42" s="17" t="inlineStr">
        <is>
          <t>весна, осень</t>
        </is>
      </c>
      <c r="M42" s="22" t="inlineStr">
        <is>
          <t>древесный: 100; фруктовый: 91,3; ванильный: 79,2; теплый пряный: 78,9; коричный: 69; фужерный: 63,7; цитрусовый: 62,3; пудровый: 61,7; свежий: 60,5; зеленый: 55,5</t>
        </is>
      </c>
      <c r="N42" s="22" t="inlineStr">
        <is>
          <t>На каждый день: 95,4; Прогулка: 76,3; Свидание: 47,4; Вечерние: 46,1; Спортзал: 31,6</t>
        </is>
      </c>
    </row>
    <row r="43" ht="54" customHeight="1" s="20">
      <c r="A43" s="5" t="inlineStr">
        <is>
          <t>030</t>
        </is>
      </c>
      <c r="B43" s="6" t="inlineStr">
        <is>
          <t>FLUIDE 30 D'ARPEGE 30 мл</t>
        </is>
      </c>
      <c r="C43" s="6" t="inlineStr">
        <is>
          <t>Lanvin Eclat D'Arpege</t>
        </is>
      </c>
      <c r="D43" s="7" t="n">
        <v>35</v>
      </c>
      <c r="E43" s="8">
        <f>100-D43</f>
        <v/>
      </c>
      <c r="F43" s="7" t="inlineStr">
        <is>
          <t>мужской</t>
        </is>
      </c>
      <c r="G43" s="7" t="inlineStr">
        <is>
          <t>Люкс</t>
        </is>
      </c>
      <c r="I43" s="4" t="inlineStr">
        <is>
          <t>Eau de extrait</t>
        </is>
      </c>
      <c r="J43" s="21" t="inlineStr">
        <is>
          <t>Основные: зеленая сирень, чайный лист, пион, цветок персика, мускус, глициния, петитгрейн, китайский османтус, кедр, амбра</t>
        </is>
      </c>
      <c r="K43" s="17" t="inlineStr">
        <is>
          <t>цветочные зеленые</t>
        </is>
      </c>
      <c r="L43" s="17" t="inlineStr">
        <is>
          <t>весна</t>
        </is>
      </c>
      <c r="M43" s="22" t="inlineStr">
        <is>
          <t>цветочный: 100; свежий: 70,2; зеленый: 52,3; мускусный: 41,8; фруктовый: 40,4</t>
        </is>
      </c>
      <c r="N43" s="22" t="inlineStr">
        <is>
          <t>На каждый день: 100; Прогулка: 80,4; Спортзал: 34,7; Свидание: 21,2; Вечерние: 18,9</t>
        </is>
      </c>
    </row>
    <row r="44" ht="54" customHeight="1" s="20">
      <c r="A44" s="5" t="inlineStr">
        <is>
          <t>093</t>
        </is>
      </c>
      <c r="B44" s="6" t="inlineStr">
        <is>
          <t>FLUIDE 93 EGOISTE 30 мл</t>
        </is>
      </c>
      <c r="C44" s="6" t="inlineStr">
        <is>
          <t>Chanel Egoiste</t>
        </is>
      </c>
      <c r="D44" s="7" t="n">
        <v>30</v>
      </c>
      <c r="E44" s="8">
        <f>100-D44</f>
        <v/>
      </c>
      <c r="F44" s="7" t="inlineStr">
        <is>
          <t>мужской</t>
        </is>
      </c>
      <c r="G44" s="7" t="inlineStr">
        <is>
          <t>Люкс</t>
        </is>
      </c>
      <c r="I44" s="4" t="inlineStr">
        <is>
          <t>Eau de extrait</t>
        </is>
      </c>
      <c r="J44" s="21" t="inlineStr">
        <is>
          <t>Верхние: бразильское розовое дерево, кориандр, сицилийский мандарин, красное дерево
Средние: корица, дамасская роза, гвоздика
Базовые: сандал, табак, ваниль, кожа, амбра, амбретта (мускусная мальва)</t>
        </is>
      </c>
      <c r="K44" s="17" t="inlineStr">
        <is>
          <t>древесные пряные</t>
        </is>
      </c>
      <c r="L44" s="17" t="inlineStr">
        <is>
          <t>зима, осень</t>
        </is>
      </c>
      <c r="M44" s="22" t="inlineStr">
        <is>
          <t>древесный: 100; теплый пряный: 93,7; коричный: 69,9; розовый: 58,6; цветочный: 57,7; фужерный: 57,4; табачный: 57,2; пудровый: 56,7; сладкий: 56,6; бальзамический: 51,7</t>
        </is>
      </c>
      <c r="N44" s="22" t="inlineStr">
        <is>
          <t>Свидание: 100; Вечерние: 92,4; На каждый день: 63,9; Прогулка: 44,7; Спортзал: 0</t>
        </is>
      </c>
    </row>
    <row r="45" ht="54" customHeight="1" s="20">
      <c r="A45" s="5" t="inlineStr">
        <is>
          <t>045</t>
        </is>
      </c>
      <c r="B45" s="6" t="inlineStr">
        <is>
          <t>FLUIDE 45 EROS 30 мл</t>
        </is>
      </c>
      <c r="C45" s="6" t="inlineStr">
        <is>
          <t>Versace Eros</t>
        </is>
      </c>
      <c r="D45" s="7" t="n">
        <v>30</v>
      </c>
      <c r="E45" s="8">
        <f>100-D45</f>
        <v/>
      </c>
      <c r="F45" s="7" t="inlineStr">
        <is>
          <t>мужской</t>
        </is>
      </c>
      <c r="G45" s="7" t="inlineStr">
        <is>
          <t>Люкс</t>
        </is>
      </c>
      <c r="I45" s="4" t="inlineStr">
        <is>
          <t>Eau de extrait</t>
        </is>
      </c>
      <c r="J45" s="21" t="inlineStr">
        <is>
          <t>Верхние: мята, карамельное яблоко, лимон, мандарин
Средние: амброксан, герань, мускатный шалфей
Базовые: ваниль, кедр, сандал, горький апельсин, пачули, кожа</t>
        </is>
      </c>
      <c r="K45" s="17" t="inlineStr">
        <is>
          <t>фужерные</t>
        </is>
      </c>
      <c r="L45" s="17" t="inlineStr">
        <is>
          <t>зима, весна, осень</t>
        </is>
      </c>
      <c r="M45" s="22" t="inlineStr">
        <is>
          <t>ванильный: 100; фужерный: 93,7; зеленый: 89,2; свежий пряный: 66,6; амбровый: 62,2; цитрусовый: 56; фруктовый: 55,9; древесный: 53,3; сладкий: 52; свежий: 51,4</t>
        </is>
      </c>
      <c r="N45" s="22" t="inlineStr">
        <is>
          <t>Вечерние: 100; Свидание: 100; На каждый день: 78,8; Прогулка: 61,3; Спортзал: 20,4</t>
        </is>
      </c>
    </row>
    <row r="46" ht="54" customHeight="1" s="20">
      <c r="A46" s="5" t="inlineStr">
        <is>
          <t>183</t>
        </is>
      </c>
      <c r="B46" s="6" t="inlineStr">
        <is>
          <t>FLUIDE 183 ESSENTIAL 30 мл</t>
        </is>
      </c>
      <c r="C46" s="6" t="inlineStr">
        <is>
          <t>Lacoste Essential</t>
        </is>
      </c>
      <c r="D46" s="7" t="n">
        <v>30</v>
      </c>
      <c r="E46" s="8">
        <f>100-D46</f>
        <v/>
      </c>
      <c r="F46" s="7" t="inlineStr">
        <is>
          <t>мужской</t>
        </is>
      </c>
      <c r="G46" s="7" t="inlineStr">
        <is>
          <t>Люкс</t>
        </is>
      </c>
      <c r="I46" s="4" t="inlineStr">
        <is>
          <t>Eau de extrait</t>
        </is>
      </c>
      <c r="J46" s="21" t="inlineStr">
        <is>
          <t>Верхние: бергамот, танжерин, кассия
Средние: роза, перец
Базовые: пачули, сандал</t>
        </is>
      </c>
      <c r="K46" s="17" t="inlineStr">
        <is>
          <t>древесные фужерные</t>
        </is>
      </c>
      <c r="L46" s="17" t="inlineStr">
        <is>
          <t>лето</t>
        </is>
      </c>
      <c r="M46" s="22" t="inlineStr">
        <is>
          <t>фужерный: 100; цитрусовый: 97,6; свежий пряный: 86,4; зеленый: 75,5; древесный: 68,6; фруктовый: 60,2; мягкий пряный: 50,1; теплый пряный: 50,1; розовый: 49,3; пачулиевый: 44,6</t>
        </is>
      </c>
      <c r="N46" s="22" t="inlineStr">
        <is>
          <t>На каждый день: 95,3; Прогулка: 89,2; Спортзал: 75; Свидание: 25; Вечерние: 23,3</t>
        </is>
      </c>
    </row>
    <row r="47" ht="54" customHeight="1" s="20">
      <c r="A47" s="5" t="inlineStr">
        <is>
          <t>096</t>
        </is>
      </c>
      <c r="B47" s="6" t="inlineStr">
        <is>
          <t>FLUIDE 96 FAHRENHEIT 30 мл</t>
        </is>
      </c>
      <c r="C47" s="6" t="inlineStr">
        <is>
          <t>Christian Dior Fahrenheit</t>
        </is>
      </c>
      <c r="D47" s="7" t="n">
        <v>20</v>
      </c>
      <c r="E47" s="8">
        <f>100-D47</f>
        <v/>
      </c>
      <c r="F47" s="7" t="inlineStr">
        <is>
          <t>мужской</t>
        </is>
      </c>
      <c r="G47" s="7" t="inlineStr">
        <is>
          <t>Люкс</t>
        </is>
      </c>
      <c r="I47" s="4" t="inlineStr">
        <is>
          <t>Eau de parfum</t>
        </is>
      </c>
      <c r="J47" s="21" t="inlineStr">
        <is>
          <t>Верхние: цветок мускатного ореха, лаванда, кедр, мандарин, ромашка, бергамот, боярышник, лимон
Средние: лист фиалки, мускатный орех, кедр, сандал, гвоздика, жимолость, жасмин, ландыш
Базовые: кожа, ветивер, мускус, амбра, пачули, бобы тонка</t>
        </is>
      </c>
      <c r="K47" s="17" t="inlineStr">
        <is>
          <t>фужерные</t>
        </is>
      </c>
      <c r="L47" s="17" t="inlineStr">
        <is>
          <t>зима, осень</t>
        </is>
      </c>
      <c r="M47" s="22" t="inlineStr">
        <is>
          <t>кожаный: 100; древесный: 90,1; озоновый: 80,9; свежий пряный: 77,8; фужерный: 74,4; животный: 73,8; акватический: 67,5; цветочный: 66,2; цитрусовый: 62,9; зеленый: 57,4</t>
        </is>
      </c>
      <c r="N47" s="22" t="inlineStr">
        <is>
          <t>Вечерние: 90; Свидание: 80; На каждый день: 70; Прогулка: 58; Спортзал: 30</t>
        </is>
      </c>
    </row>
    <row r="48" ht="54" customHeight="1" s="20">
      <c r="A48" s="5" t="inlineStr">
        <is>
          <t>156</t>
        </is>
      </c>
      <c r="B48" s="6" t="inlineStr">
        <is>
          <t>FLUIDE 156 HB NOW 30 мл</t>
        </is>
      </c>
      <c r="C48" s="6" t="inlineStr">
        <is>
          <t>Hugo Boss Hugo Now</t>
        </is>
      </c>
      <c r="D48" s="7" t="n">
        <v>25</v>
      </c>
      <c r="E48" s="8">
        <f>100-D48</f>
        <v/>
      </c>
      <c r="F48" s="7" t="inlineStr">
        <is>
          <t>мужской</t>
        </is>
      </c>
      <c r="G48" s="7" t="inlineStr">
        <is>
          <t>Люкс</t>
        </is>
      </c>
      <c r="I48" s="4" t="inlineStr">
        <is>
          <t>Eau de parfum</t>
        </is>
      </c>
      <c r="J48" s="21" t="inlineStr">
        <is>
          <t>Верхние: цедра лимона, кардамон
Средние: водные ноты, лед, мята, лаванда
Базовые: гаитянский ветивер</t>
        </is>
      </c>
      <c r="K48" s="17" t="inlineStr">
        <is>
          <t>фужерные водяные</t>
        </is>
      </c>
      <c r="L48" s="17" t="inlineStr">
        <is>
          <t>лето</t>
        </is>
      </c>
      <c r="M48" s="22" t="inlineStr">
        <is>
          <t>акватический: 100; свежий: 99,9; фужерный: 82,4; цитрусовый: 78,4; зеленый: 69,2; свежий пряный: 52,9; лаванда: 47,1; теплый пряный: 45,7</t>
        </is>
      </c>
      <c r="N48" s="22" t="inlineStr">
        <is>
          <t>На каждый день: 83,9; Прогулка: 75,6; Спортзал: 56,2; Вечерние: 24,3; Свидание: 23,8</t>
        </is>
      </c>
    </row>
    <row r="49" ht="54" customHeight="1" s="20">
      <c r="A49" s="5" t="inlineStr">
        <is>
          <t>034</t>
        </is>
      </c>
      <c r="B49" s="6" t="inlineStr">
        <is>
          <t>FLUIDE 34 MILLION 30 мл</t>
        </is>
      </c>
      <c r="C49" s="6" t="inlineStr">
        <is>
          <t>Paco Rabanne 1 Million</t>
        </is>
      </c>
      <c r="D49" s="7" t="n">
        <v>30</v>
      </c>
      <c r="E49" s="8">
        <f>100-D49</f>
        <v/>
      </c>
      <c r="F49" s="7" t="inlineStr">
        <is>
          <t>мужской</t>
        </is>
      </c>
      <c r="G49" s="7" t="inlineStr">
        <is>
          <t>Люкс</t>
        </is>
      </c>
      <c r="I49" s="4" t="inlineStr">
        <is>
          <t>Eau de extrait</t>
        </is>
      </c>
      <c r="J49" s="21" t="inlineStr">
        <is>
          <t>Верхние: красный мандарин, грейпфрут, мята
Средние: корица, пряные ноты, роза
Базовые: амбра, кожа, древесные ноты, индийский пачули</t>
        </is>
      </c>
      <c r="K49" s="17" t="inlineStr">
        <is>
          <t>древесные пряные</t>
        </is>
      </c>
      <c r="L49" s="17" t="inlineStr">
        <is>
          <t>зима</t>
        </is>
      </c>
      <c r="M49" s="22" t="inlineStr">
        <is>
          <t>теплый пряный: 100; коричный: 80,9; цитрусовый: 73,2; амбровый: 62,6; древесный: 61,3; кожаный: 57,1; розовый: 52,5; животный: 50,1; зеленый: 46,9; пачулиевый: 46</t>
        </is>
      </c>
      <c r="N49" s="22" t="inlineStr">
        <is>
          <t>Вечерние: 100; Свидание: 100; На каждый день: 60,7; Прогулка: 42,5; Спортзал: 0</t>
        </is>
      </c>
    </row>
    <row r="50" ht="54" customHeight="1" s="20">
      <c r="A50" s="5" t="inlineStr">
        <is>
          <t>111</t>
        </is>
      </c>
      <c r="B50" s="6" t="inlineStr">
        <is>
          <t>FLUIDE 111 THE ONE FOR MEN 30 мл</t>
        </is>
      </c>
      <c r="C50" s="6" t="inlineStr">
        <is>
          <t>Dolce &amp; Gabbana The One for Men</t>
        </is>
      </c>
      <c r="D50" s="7" t="n">
        <v>30</v>
      </c>
      <c r="E50" s="8">
        <f>100-D50</f>
        <v/>
      </c>
      <c r="F50" s="7" t="inlineStr">
        <is>
          <t>мужской</t>
        </is>
      </c>
      <c r="G50" s="7" t="inlineStr">
        <is>
          <t>Люкс</t>
        </is>
      </c>
      <c r="I50" s="4" t="inlineStr">
        <is>
          <t>Eau de extrait</t>
        </is>
      </c>
      <c r="J50" s="21" t="inlineStr">
        <is>
          <t>Верхние: грейпфрут, кориандр, базилик
Средние: кардамон, имбирь, цветок апельсина
Базовые: амбра, табак, кедр</t>
        </is>
      </c>
      <c r="K50" s="17" t="inlineStr">
        <is>
          <t>древесные пряные</t>
        </is>
      </c>
      <c r="L50" s="17" t="inlineStr">
        <is>
          <t>зима, осень</t>
        </is>
      </c>
      <c r="M50" s="22" t="inlineStr">
        <is>
          <t>амбровый: 100; свежий пряный: 92,7; табачный: 92,5; фужерный: 88,2; цитрусовый: 85,6; сладкий: 70,3; теплый пряный: 66,5; древесный: 58,9; белые цветы: 56,4; свежий: 55,4</t>
        </is>
      </c>
      <c r="N50" s="22" t="inlineStr">
        <is>
          <t>Свидание: 100; Вечерние: 92,7; На каждый день: 68,8; Прогулка: 48,1; Спортзал: 0</t>
        </is>
      </c>
    </row>
    <row r="51" ht="54" customHeight="1" s="20">
      <c r="A51" s="5" t="inlineStr">
        <is>
          <t>081</t>
        </is>
      </c>
      <c r="B51" s="6" t="inlineStr">
        <is>
          <t>FLUIDE 81 VIP MEN 30 мл</t>
        </is>
      </c>
      <c r="C51" s="6" t="inlineStr">
        <is>
          <t>Carolina Herrera 212 VIP Men</t>
        </is>
      </c>
      <c r="D51" s="7" t="n">
        <v>25</v>
      </c>
      <c r="E51" s="8">
        <f>100-D51</f>
        <v/>
      </c>
      <c r="F51" s="7" t="inlineStr">
        <is>
          <t>мужской</t>
        </is>
      </c>
      <c r="G51" s="7" t="inlineStr">
        <is>
          <t>Люкс</t>
        </is>
      </c>
      <c r="I51" s="4" t="inlineStr">
        <is>
          <t>Eau de parfum</t>
        </is>
      </c>
      <c r="J51" s="21" t="inlineStr">
        <is>
          <t>Верхние: маракуйя, лайм, перец, имбирь, пальчиковый лайм
Средние: водка, джин, мята, специи
Базовые: амбра, кожа, древесные ноты</t>
        </is>
      </c>
      <c r="K51" s="17" t="inlineStr">
        <is>
          <t>восточные древесные</t>
        </is>
      </c>
      <c r="L51" s="17" t="inlineStr">
        <is>
          <t>зима, осень</t>
        </is>
      </c>
      <c r="M51" s="22" t="inlineStr">
        <is>
          <t>свежий пряный: 100; фужерный: 91,5; водочный: 86,6; древесный: 75,9; зеленый: 70,8; тропический: 66,3; цитрусовый: 65,1; фруктовый: 64,8; теплый пряный: 63,9; свежий: 62,9</t>
        </is>
      </c>
      <c r="N51" s="22" t="inlineStr">
        <is>
          <t>Вечерние: 100; Свидание: 100; На каждый день: 71,8; Прогулка: 50,3; Спортзал: 0</t>
        </is>
      </c>
    </row>
    <row r="52" ht="54" customHeight="1" s="20">
      <c r="A52" s="5" t="inlineStr">
        <is>
          <t>185</t>
        </is>
      </c>
      <c r="B52" s="6" t="inlineStr">
        <is>
          <t>FLUIDE 185 WHITE 30 мл</t>
        </is>
      </c>
      <c r="C52" s="6" t="inlineStr">
        <is>
          <t>Lacoste Eau de Lacoste L.12.12. White</t>
        </is>
      </c>
      <c r="D52" s="7" t="n">
        <v>30</v>
      </c>
      <c r="E52" s="8">
        <f>100-D52</f>
        <v/>
      </c>
      <c r="F52" s="7" t="inlineStr">
        <is>
          <t>мужской</t>
        </is>
      </c>
      <c r="G52" s="7" t="inlineStr">
        <is>
          <t>Люкс</t>
        </is>
      </c>
      <c r="I52" s="4" t="inlineStr">
        <is>
          <t>Eau de parfum</t>
        </is>
      </c>
      <c r="J52" s="21" t="inlineStr">
        <is>
          <t>Верхние: грейпфрут, розмарин, кардамон
Средние: иланг-иланг, тубероза
Базовые: виргинский кедр, замша, ветивер, кожа</t>
        </is>
      </c>
      <c r="K52" s="17" t="inlineStr">
        <is>
          <t>древесные фужерные</t>
        </is>
      </c>
      <c r="L52" s="17" t="inlineStr">
        <is>
          <t>лето</t>
        </is>
      </c>
      <c r="M52" s="22" t="inlineStr">
        <is>
          <t>древесный: 100; цитрусовый: 90,7; фужерный: 90,4; желтые цветы: 79,7; тубероза: 74,9; свежий пряный: 68; белые цветы: 65,9; кожаный: 62,4; сладкий: 54,8; животный: 51,2</t>
        </is>
      </c>
      <c r="N52" s="22" t="inlineStr">
        <is>
          <t>На каждый день: 99,2; Прогулка: 94,3; Спортзал: 83; Свидание: 15,7; Вечерние: 0</t>
        </is>
      </c>
    </row>
    <row r="53" ht="54" customHeight="1" s="20">
      <c r="A53" s="5" t="inlineStr">
        <is>
          <t>036</t>
        </is>
      </c>
      <c r="B53" s="6" t="inlineStr">
        <is>
          <t>FLUIDE 36 INVICTUS 30 мл</t>
        </is>
      </c>
      <c r="C53" s="6" t="inlineStr">
        <is>
          <t>Paco Rabanne Invictus</t>
        </is>
      </c>
      <c r="D53" s="7" t="n">
        <v>25</v>
      </c>
      <c r="E53" s="8">
        <f>100-D53</f>
        <v/>
      </c>
      <c r="F53" s="7" t="inlineStr">
        <is>
          <t>мужской</t>
        </is>
      </c>
      <c r="G53" s="7" t="inlineStr">
        <is>
          <t>Суперлюкс</t>
        </is>
      </c>
      <c r="I53" s="4" t="inlineStr">
        <is>
          <t>Eau de parfum</t>
        </is>
      </c>
      <c r="J53" s="21" t="inlineStr">
        <is>
          <t>Верхние: морские ноты, грейпфрут, мандарин
Средние: лавровый лист, жасмин
Базовые: амбра, гваяковое дерево, дубовый мох, пачули</t>
        </is>
      </c>
      <c r="K53" s="17" t="inlineStr">
        <is>
          <t>древесные водяные</t>
        </is>
      </c>
      <c r="L53" s="17" t="inlineStr">
        <is>
          <t>лето</t>
        </is>
      </c>
      <c r="M53" s="22" t="inlineStr">
        <is>
          <t>цитрусовый: 100; морской: 87,4; фужерный: 84,2; свежий пряный: 70; древесный: 60; соленый: 54,9; амбровый: 54,5; белые цветы: 49,7; акватический: 46,9; животный: 45,7</t>
        </is>
      </c>
      <c r="N53" s="22" t="inlineStr">
        <is>
          <t>На каждый день: 100; Прогулка: 87,7; Вечерние: 58,9; Свидание: 58,9; Спортзал: 58,9</t>
        </is>
      </c>
    </row>
    <row r="54" ht="54" customHeight="1" s="20">
      <c r="A54" s="5" t="inlineStr">
        <is>
          <t>015</t>
        </is>
      </c>
      <c r="B54" s="6" t="inlineStr">
        <is>
          <t>FLUIDE 15 SAUVAGE 30 мл</t>
        </is>
      </c>
      <c r="C54" s="6" t="inlineStr">
        <is>
          <t>Dior Sauvage</t>
        </is>
      </c>
      <c r="D54" s="7" t="n">
        <v>30</v>
      </c>
      <c r="E54" s="8">
        <f>100-D54</f>
        <v/>
      </c>
      <c r="F54" s="7" t="inlineStr">
        <is>
          <t>мужской</t>
        </is>
      </c>
      <c r="G54" s="7" t="inlineStr">
        <is>
          <t>Суперлюкс</t>
        </is>
      </c>
      <c r="I54" s="4" t="inlineStr">
        <is>
          <t>Eau de extrait</t>
        </is>
      </c>
      <c r="J54" s="21" t="inlineStr">
        <is>
          <t>Верхние: калабрийский бергамот, перец
Средние: сычуаньский перец, лаванда, розовый перец, ветивер, пачули, герань, элеми
Базовые: амброксан, кедр, лабданум</t>
        </is>
      </c>
      <c r="K54" s="17" t="inlineStr">
        <is>
          <t>фужерные</t>
        </is>
      </c>
      <c r="L54" s="17" t="inlineStr">
        <is>
          <t>весна, лето, осень</t>
        </is>
      </c>
      <c r="M54" s="22" t="inlineStr">
        <is>
          <t>свежий пряный: 100; амбровый: 70,9; цитрусовый: 69,5; фужерный: 63,6; мускусный: 57,5; древесный: 54,4; лаванда: 46,6; травяной: 45,7; теплый пряный: 45,3</t>
        </is>
      </c>
      <c r="N54" s="22" t="inlineStr">
        <is>
          <t>На каждый день: 21,9; Прогулка: 18,4; Вечерние: 15,2; Спортзал: 10,2; Свидание: 0</t>
        </is>
      </c>
    </row>
    <row r="55" ht="54" customHeight="1" s="20">
      <c r="A55" s="5" t="inlineStr">
        <is>
          <t>016</t>
        </is>
      </c>
      <c r="B55" s="6" t="inlineStr">
        <is>
          <t>FLUIDE 16 AVENTUS 30 мл</t>
        </is>
      </c>
      <c r="C55" s="6" t="inlineStr">
        <is>
          <t>Creed Aventus</t>
        </is>
      </c>
      <c r="D55" s="7" t="n">
        <v>35</v>
      </c>
      <c r="E55" s="8">
        <f>100-D55</f>
        <v/>
      </c>
      <c r="F55" s="7" t="inlineStr">
        <is>
          <t>мужской</t>
        </is>
      </c>
      <c r="G55" s="7" t="inlineStr">
        <is>
          <t>Селектив</t>
        </is>
      </c>
      <c r="I55" s="4" t="inlineStr">
        <is>
          <t>Eau de extrait</t>
        </is>
      </c>
      <c r="J55" s="21" t="inlineStr">
        <is>
          <t>Верхние: бергамот, черная смородина, яблоко, лимон, розовый перец
Средние: ананас, пачули, марокканский жасмин
Базовые: береза, мускус, дубовый мох, кедровая древесина, амброксан</t>
        </is>
      </c>
      <c r="K55" s="17" t="inlineStr">
        <is>
          <t>шипровые фруктовые</t>
        </is>
      </c>
      <c r="L55" s="17" t="inlineStr">
        <is>
          <t>весна, лето</t>
        </is>
      </c>
      <c r="M55" s="22" t="inlineStr">
        <is>
          <t>фруктовый: 100; сладкий: 68,5; древесный: 67,7; кожаный: 63,6; цитрусовый: 59,2; дымный: 56,9; мускусный: 55,3; свежий: 52,2; тропический: 52,2; мшистый: 47</t>
        </is>
      </c>
      <c r="N55" s="22" t="inlineStr">
        <is>
          <t>На каждый день: 98,8; Вечерние: 83,6; Свидание: 83,6; Прогулка: 81,7; Спортзал: 41,9</t>
        </is>
      </c>
    </row>
    <row r="56" ht="54" customHeight="1" s="20">
      <c r="A56" s="5" t="inlineStr">
        <is>
          <t>528</t>
        </is>
      </c>
      <c r="B56" s="6" t="inlineStr">
        <is>
          <t>FLUIDE 528 AVENTUS ABSOLU 30 мл</t>
        </is>
      </c>
      <c r="C56" s="6" t="inlineStr">
        <is>
          <t>Creed Absolu Aventus</t>
        </is>
      </c>
      <c r="D56" s="7" t="n">
        <v>20</v>
      </c>
      <c r="E56" s="8">
        <f>100-D56</f>
        <v/>
      </c>
      <c r="F56" s="7" t="inlineStr">
        <is>
          <t>мужской</t>
        </is>
      </c>
      <c r="G56" s="7" t="inlineStr">
        <is>
          <t>Селектив</t>
        </is>
      </c>
      <c r="I56" s="4" t="inlineStr">
        <is>
          <t>Eau de parfum</t>
        </is>
      </c>
      <c r="J56" s="21" t="inlineStr">
        <is>
          <t>Верхние: ананас, черная смородина, грейпфрут, лимон, розовый перец, бергамот
Средние: кардамон, корица, имбирь
Базовые: ветивер, пачули</t>
        </is>
      </c>
      <c r="K56" s="17" t="inlineStr">
        <is>
          <t>шипровые фруктовые</t>
        </is>
      </c>
      <c r="L56" s="17" t="inlineStr">
        <is>
          <t>зима, весна, лето, осень</t>
        </is>
      </c>
      <c r="M56" s="22" t="inlineStr">
        <is>
          <t>фруктовый: 100; цитрусовый: 97,1; фужерный: 80,2; теплый пряный: 77,5; древесный: 70,9; сладкий: 69; свежий пряный: 62,2; мягкий пряный: 54,8; свежий: 54; землистый: 53,4</t>
        </is>
      </c>
      <c r="N56" s="22" t="inlineStr">
        <is>
          <t>На каждый день: 70; Свидание: 70; Прогулка: 55; Вечерние: 40; Спортзал: 20</t>
        </is>
      </c>
    </row>
    <row r="57" ht="54" customHeight="1" s="20">
      <c r="A57" s="5" t="inlineStr">
        <is>
          <t>198</t>
        </is>
      </c>
      <c r="B57" s="6" t="inlineStr">
        <is>
          <t>FLUIDE 198 IMAGINATION 30 мл</t>
        </is>
      </c>
      <c r="C57" s="6" t="inlineStr">
        <is>
          <t>Louis Vuitton Imagination</t>
        </is>
      </c>
      <c r="D57" s="7" t="n">
        <v>28</v>
      </c>
      <c r="E57" s="8">
        <f>100-D57</f>
        <v/>
      </c>
      <c r="F57" s="7" t="inlineStr">
        <is>
          <t>мужской</t>
        </is>
      </c>
      <c r="G57" s="7" t="inlineStr">
        <is>
          <t>Селектив</t>
        </is>
      </c>
      <c r="I57" s="4" t="inlineStr">
        <is>
          <t>Eau de extrait</t>
        </is>
      </c>
      <c r="J57" s="21" t="inlineStr">
        <is>
          <t>Верхние: цитрон, калабрийский бергамот, сицилийский апельсин
Средние: тунисский нероли, нигерийский имбирь, цейлонская корица
Базовые: китайский черный чай, амброксан, гваяковое дерево, олибанум</t>
        </is>
      </c>
      <c r="K57" s="17" t="inlineStr">
        <is>
          <t>цитрусовые фужерные</t>
        </is>
      </c>
      <c r="L57" s="17" t="inlineStr">
        <is>
          <t>лето</t>
        </is>
      </c>
      <c r="M57" s="22" t="inlineStr">
        <is>
          <t>цитрусовый: 100; свежий пряный: 56,1; свежий: 50,1; зеленый: 49,6; амбровый: 40</t>
        </is>
      </c>
      <c r="N57" s="22" t="inlineStr">
        <is>
          <t>На каждый день: 70; Прогулка: 61; Свидание: 60; Спортзал: 40; Вечерние: 30</t>
        </is>
      </c>
    </row>
    <row r="58" ht="54" customHeight="1" s="20">
      <c r="A58" s="5" t="inlineStr">
        <is>
          <t>031</t>
        </is>
      </c>
      <c r="B58" s="6" t="inlineStr">
        <is>
          <t>FLUIDE 31 L'IMMENSITE 30 мл</t>
        </is>
      </c>
      <c r="C58" s="6" t="inlineStr">
        <is>
          <t>Louis Vuitton L’Immensité</t>
        </is>
      </c>
      <c r="D58" s="7" t="n">
        <v>25</v>
      </c>
      <c r="E58" s="8">
        <f>100-D58</f>
        <v/>
      </c>
      <c r="F58" s="7" t="inlineStr">
        <is>
          <t>мужской</t>
        </is>
      </c>
      <c r="G58" s="7" t="inlineStr">
        <is>
          <t>Селектив</t>
        </is>
      </c>
      <c r="I58" s="4" t="inlineStr">
        <is>
          <t>Eau de parfum</t>
        </is>
      </c>
      <c r="J58" s="21" t="inlineStr">
        <is>
          <t>Верхние: грейпфрут, бергамот, имбирь
Средние: розмарин, шалфей, герань, водные ноты
Базовые: амброксан, амбра, лабданум</t>
        </is>
      </c>
      <c r="K58" s="17" t="inlineStr">
        <is>
          <t>восточные пряные</t>
        </is>
      </c>
      <c r="L58" s="17" t="inlineStr">
        <is>
          <t>весна, лето</t>
        </is>
      </c>
      <c r="M58" s="22" t="inlineStr">
        <is>
          <t>свежий пряный: 100; фужерный: 100; цитрусовый: 88,3; амбровый: 61,1; травяной: 56; акватический: 47,7; свежий: 45,5; мускусный: 45</t>
        </is>
      </c>
      <c r="N58" s="22" t="inlineStr">
        <is>
          <t>На каждый день: 100; Прогулка: 85,6; Спортзал: 51,9; Вечерние: 47,2; Свидание: 47,2</t>
        </is>
      </c>
    </row>
    <row r="59" ht="54" customHeight="1" s="20">
      <c r="A59" s="5" t="inlineStr">
        <is>
          <t>071</t>
        </is>
      </c>
      <c r="B59" s="6" t="inlineStr">
        <is>
          <t>FLUIDE 71 TYGAR 30 мл</t>
        </is>
      </c>
      <c r="C59" s="6" t="inlineStr">
        <is>
          <t>Bvlgari Tygar</t>
        </is>
      </c>
      <c r="D59" s="7" t="n">
        <v>25</v>
      </c>
      <c r="E59" s="8">
        <f>100-D59</f>
        <v/>
      </c>
      <c r="F59" s="7" t="inlineStr">
        <is>
          <t>мужской</t>
        </is>
      </c>
      <c r="G59" s="7" t="inlineStr">
        <is>
          <t>Селектив</t>
        </is>
      </c>
      <c r="I59" s="4" t="inlineStr">
        <is>
          <t>Eau de parfum</t>
        </is>
      </c>
      <c r="J59" s="21" t="inlineStr">
        <is>
          <t>Верхние: грейпфрут
Средние: имбирь, амбретта
Базовые: амброксан, мускус, ветивер, пачули</t>
        </is>
      </c>
      <c r="K59" s="17" t="inlineStr">
        <is>
          <t>цитрусовые фужерные</t>
        </is>
      </c>
      <c r="L59" s="17" t="inlineStr">
        <is>
          <t>весна, лето</t>
        </is>
      </c>
      <c r="M59" s="22" t="inlineStr">
        <is>
          <t>цитрусовый: 100; мускусный: 97,4; амбровый: 87,6; свежий пряный: 69; фужерный: 55,7; древесный: 45,9</t>
        </is>
      </c>
      <c r="N59" s="22" t="inlineStr">
        <is>
          <t>На каждый день: 100; Прогулка: 82,6; Вечерние: 69,2; Свидание: 69,2; Спортзал: 42,1</t>
        </is>
      </c>
    </row>
    <row r="60" ht="54" customHeight="1" s="20">
      <c r="A60" s="5" t="inlineStr">
        <is>
          <t>004</t>
        </is>
      </c>
      <c r="B60" s="6" t="inlineStr">
        <is>
          <t>FLUIDE 4 ZAM ZAM 30 мл</t>
        </is>
      </c>
      <c r="C60" s="6" t="inlineStr">
        <is>
          <t>Arabic Zam Zam</t>
        </is>
      </c>
      <c r="D60" s="7" t="n">
        <v>30</v>
      </c>
      <c r="E60" s="8">
        <f>100-D60</f>
        <v/>
      </c>
      <c r="F60" s="7" t="inlineStr">
        <is>
          <t>унисекс</t>
        </is>
      </c>
      <c r="G60" s="7" t="inlineStr">
        <is>
          <t>Люкс</t>
        </is>
      </c>
      <c r="I60" s="4" t="inlineStr">
        <is>
          <t>Eau de extrait</t>
        </is>
      </c>
      <c r="J60" s="21" t="inlineStr">
        <is>
          <t>Основные: натуральный мускус, шафран, иланг-иланг, роза, сандал, жасмин</t>
        </is>
      </c>
      <c r="K60" s="17" t="inlineStr">
        <is>
          <t>восточные цветочные</t>
        </is>
      </c>
      <c r="L60" s="17" t="inlineStr">
        <is>
          <t>весна</t>
        </is>
      </c>
      <c r="M60" s="22" t="inlineStr">
        <is>
          <t>мускусный: 100; теплый пряный: 91,8; древесный: 90,7; желтые цветы: 84,4; пудровый: 84,4; розовый: 68,9; сладкий: 64,2; белые цветы: 61,1; металлический: 57,2; цветочный: 53,3</t>
        </is>
      </c>
      <c r="N60" s="22" t="inlineStr">
        <is>
          <t>На каждый день: 97,3; Прогулка: 75,9; Свидание: 47,3; Вечерние: 45,1; Спортзал: 26,2</t>
        </is>
      </c>
    </row>
    <row r="61" ht="54" customHeight="1" s="20">
      <c r="A61" s="5" t="inlineStr">
        <is>
          <t>037</t>
        </is>
      </c>
      <c r="B61" s="6" t="inlineStr">
        <is>
          <t>FLUIDE 37 ACCENTO 30 мл</t>
        </is>
      </c>
      <c r="C61" s="6" t="inlineStr">
        <is>
          <t>Sospiro Accento</t>
        </is>
      </c>
      <c r="D61" s="7" t="n">
        <v>30</v>
      </c>
      <c r="E61" s="8">
        <f>100-D61</f>
        <v/>
      </c>
      <c r="F61" s="7" t="inlineStr">
        <is>
          <t>унисекс</t>
        </is>
      </c>
      <c r="G61" s="7" t="inlineStr">
        <is>
          <t>Селектив</t>
        </is>
      </c>
      <c r="I61" s="4" t="inlineStr">
        <is>
          <t>Eau de extrait</t>
        </is>
      </c>
      <c r="J61" s="21" t="inlineStr">
        <is>
          <t>Верхние: ананас, гиацинт
Средние: розовый перец, ирис, жасмин
Базовые: мускус, амбра, ветивер, пачули, ваниль</t>
        </is>
      </c>
      <c r="K61" s="17" t="inlineStr">
        <is>
          <t>восточные древесные</t>
        </is>
      </c>
      <c r="L61" s="17" t="inlineStr">
        <is>
          <t>весна, лето</t>
        </is>
      </c>
      <c r="M61" s="22" t="inlineStr">
        <is>
          <t>мускусный: 100; сладкий: 87; пудровый: 86,3; землистый: 82,6; древесный: 79,3; фруктовый: 73; амбровый: 70,1; цветочный: 69,9; зеленый: 64,9; мягкий пряный: 62,5</t>
        </is>
      </c>
      <c r="N61" s="22" t="inlineStr">
        <is>
          <t>На каждый день: 100; Вечерние: 82; Свидание: 82; Прогулка: 76,8; Спортзал: 22,5</t>
        </is>
      </c>
    </row>
    <row r="62" ht="54" customHeight="1" s="20">
      <c r="A62" s="5" t="inlineStr">
        <is>
          <t>195</t>
        </is>
      </c>
      <c r="B62" s="6" t="inlineStr">
        <is>
          <t>FLUIDE 195 AFTERNOON SWIM 30 мл</t>
        </is>
      </c>
      <c r="C62" s="6" t="inlineStr">
        <is>
          <t>Louis Vuitton Afternoon Swim</t>
        </is>
      </c>
      <c r="D62" s="7" t="n">
        <v>25</v>
      </c>
      <c r="E62" s="8">
        <f>100-D62</f>
        <v/>
      </c>
      <c r="F62" s="7" t="inlineStr">
        <is>
          <t>унисекс</t>
        </is>
      </c>
      <c r="G62" s="7" t="inlineStr">
        <is>
          <t>Селектив</t>
        </is>
      </c>
      <c r="I62" s="4" t="inlineStr">
        <is>
          <t>Eau de extrait</t>
        </is>
      </c>
      <c r="J62" s="21" t="inlineStr">
        <is>
          <t>Основные: мандарин, сицилийский апельсин, бергамот, амбра, имбирь</t>
        </is>
      </c>
      <c r="K62" s="17" t="inlineStr">
        <is>
          <t>цитрусовые</t>
        </is>
      </c>
      <c r="L62" s="17" t="inlineStr">
        <is>
          <t>лето</t>
        </is>
      </c>
      <c r="M62" s="22" t="inlineStr">
        <is>
          <t>цитрусовый: 100; свежий пряный: 45,9; сладкий: 39,7; фужерный: 36,2; амбровый: 35,9</t>
        </is>
      </c>
      <c r="N62" s="22" t="inlineStr">
        <is>
          <t>На каждый день: 100; Прогулка: 90,5; Спортзал: 68,4; Вечерние: 36,8; Свидание: 36,8</t>
        </is>
      </c>
    </row>
    <row r="63" ht="54" customHeight="1" s="20">
      <c r="A63" s="5" t="inlineStr">
        <is>
          <t>508</t>
        </is>
      </c>
      <c r="B63" s="6" t="inlineStr">
        <is>
          <t>FLUIDE 508 ALMAZ 30 мл</t>
        </is>
      </c>
      <c r="C63" s="6" t="inlineStr">
        <is>
          <t>Kajal Almaz</t>
        </is>
      </c>
      <c r="D63" s="7" t="n">
        <v>25</v>
      </c>
      <c r="E63" s="8">
        <f>100-D63</f>
        <v/>
      </c>
      <c r="F63" s="7" t="inlineStr">
        <is>
          <t>унисекс</t>
        </is>
      </c>
      <c r="G63" s="7" t="inlineStr">
        <is>
          <t>Селектив</t>
        </is>
      </c>
      <c r="I63" s="4" t="inlineStr">
        <is>
          <t>Eau de extrait</t>
        </is>
      </c>
      <c r="J63" s="21" t="inlineStr">
        <is>
          <t>Верхние: черная смородина, калабрийский бергамот, амальфитанский лимон, мандарин
Средние: малина, гелиотроп, турецкая роза, корень ириса
Базовые: коричневый сахар, мадагаскарская ваниль, мускус, бобы тонка, сандал, амбра</t>
        </is>
      </c>
      <c r="K63" s="17" t="inlineStr">
        <is>
          <t>цветочные фруктовые сладкие</t>
        </is>
      </c>
      <c r="L63" s="17" t="inlineStr">
        <is>
          <t>весна, лето</t>
        </is>
      </c>
      <c r="M63" s="22" t="inlineStr">
        <is>
          <t>фруктовый: 100; сладкий: 87; цитрусовый: 70,1; ванильный: 69,7; пудровый: 62; древесный: 52,6; фужерный: 50,3; цветочный: 46,6; мягкий пряный: 45,7</t>
        </is>
      </c>
      <c r="N63" s="22" t="inlineStr">
        <is>
          <t>На каждый день: 100; Вечерние: 90,7; Свидание: 90,7; Прогулка: 75,6; Спортзал: 18,7</t>
        </is>
      </c>
    </row>
    <row r="64" ht="54" customHeight="1" s="20">
      <c r="A64" s="5" t="inlineStr">
        <is>
          <t>001</t>
        </is>
      </c>
      <c r="B64" s="6" t="inlineStr">
        <is>
          <t>FLUIDE 1 AMBER WOOD 30 мл</t>
        </is>
      </c>
      <c r="C64" s="6" t="inlineStr">
        <is>
          <t>Ajmal Amber Wood</t>
        </is>
      </c>
      <c r="D64" s="7" t="n">
        <v>22</v>
      </c>
      <c r="E64" s="8">
        <f>100-D64</f>
        <v/>
      </c>
      <c r="F64" s="7" t="inlineStr">
        <is>
          <t>унисекс</t>
        </is>
      </c>
      <c r="G64" s="7" t="inlineStr">
        <is>
          <t>Селектив</t>
        </is>
      </c>
      <c r="I64" s="4" t="inlineStr">
        <is>
          <t>Eau de parfum</t>
        </is>
      </c>
      <c r="J64" s="21" t="inlineStr">
        <is>
          <t>Верхние: кардамон, яблоко, лаванда, белый перец
Средние: кедр, корень ириса
Базовые: амбра, древесные ноты, пачули</t>
        </is>
      </c>
      <c r="K64" s="17" t="inlineStr">
        <is>
          <t>восточные древесные</t>
        </is>
      </c>
      <c r="L64" s="17" t="inlineStr">
        <is>
          <t>зима, осень</t>
        </is>
      </c>
      <c r="M64" s="22" t="inlineStr">
        <is>
          <t>древесный: 100; теплый пряный: 69,3; амбровый: 67,9; свежий пряный: 54,8; фужерный: 52,2; пачулиевый: 49,4; пудровый: 48,3; лаванда: 47,5; фруктовый: 44,3; ирис: 44,1</t>
        </is>
      </c>
      <c r="N64" s="22" t="inlineStr">
        <is>
          <t>Свидание: 100; Вечерние: 83,3; На каждый день: 63,3; Прогулка: 44,3; Спортзал: 0</t>
        </is>
      </c>
    </row>
    <row r="65" ht="54" customHeight="1" s="20">
      <c r="A65" s="5" t="inlineStr">
        <is>
          <t>170</t>
        </is>
      </c>
      <c r="B65" s="6" t="inlineStr">
        <is>
          <t>FLUIDE 170 ANGEL'S SHARE 30 мл</t>
        </is>
      </c>
      <c r="C65" s="6" t="inlineStr">
        <is>
          <t>By Kilian Angel's Share</t>
        </is>
      </c>
      <c r="D65" s="7" t="n">
        <v>22</v>
      </c>
      <c r="E65" s="8">
        <f>100-D65</f>
        <v/>
      </c>
      <c r="F65" s="7" t="inlineStr">
        <is>
          <t>унисекс</t>
        </is>
      </c>
      <c r="G65" s="7" t="inlineStr">
        <is>
          <t>Селектив</t>
        </is>
      </c>
      <c r="I65" s="4" t="inlineStr">
        <is>
          <t>Eau de parfum</t>
        </is>
      </c>
      <c r="J65" s="21" t="inlineStr">
        <is>
          <t>Верхние: коньяк
Средние: корица, бобы тонка, дуб, гедион
Базовые: ваниль, пралине, сандал, засахаренный миндаль</t>
        </is>
      </c>
      <c r="K65" s="17" t="inlineStr">
        <is>
          <t>восточные гурманские</t>
        </is>
      </c>
      <c r="L65" s="17" t="inlineStr">
        <is>
          <t>зима</t>
        </is>
      </c>
      <c r="M65" s="22" t="inlineStr">
        <is>
          <t>теплый пряный: 100; древесный: 99,9; сладкий: 90,2; ванильный: 81,3; коричный: 78,6; амбровый: 50,7; пудровый: 48,2</t>
        </is>
      </c>
      <c r="N65" s="22" t="inlineStr">
        <is>
          <t>Вечерние: 100; Свидание: 80; На каждый день: 20; Прогулка: 14; Спортзал: 0</t>
        </is>
      </c>
    </row>
    <row r="66" ht="54" customHeight="1" s="20">
      <c r="A66" s="5" t="inlineStr">
        <is>
          <t>008</t>
        </is>
      </c>
      <c r="B66" s="6" t="inlineStr">
        <is>
          <t>FLUIDE 8 AURICA 30 мл</t>
        </is>
      </c>
      <c r="C66" s="6" t="inlineStr">
        <is>
          <t>Boadicea the Victorious Aurica</t>
        </is>
      </c>
      <c r="D66" s="7" t="n">
        <v>20</v>
      </c>
      <c r="E66" s="8">
        <f>100-D66</f>
        <v/>
      </c>
      <c r="F66" s="7" t="inlineStr">
        <is>
          <t>унисекс</t>
        </is>
      </c>
      <c r="G66" s="7" t="inlineStr">
        <is>
          <t>Селектив</t>
        </is>
      </c>
      <c r="I66" s="4" t="inlineStr">
        <is>
          <t>Eau de parfum</t>
        </is>
      </c>
      <c r="J66" s="21" t="inlineStr">
        <is>
          <t>Верхние: ананас, кедровая хвоя, мандарин, иланг-иланг
Средние: бархатцы, камбоджийский уд, жасмин, роза
Базовые: мускус, ветивер, пачули, сандал, ваниль, мох, амбра</t>
        </is>
      </c>
      <c r="K66" s="17" t="inlineStr">
        <is>
          <t>восточные древесные</t>
        </is>
      </c>
      <c r="L66" s="17" t="inlineStr">
        <is>
          <t>весна</t>
        </is>
      </c>
      <c r="M66" s="22" t="inlineStr">
        <is>
          <t>древесный: 100; сладкий: 74; фужерный: 62; фруктовый: 61,2; пудровый: 54,4; мускусный: 54,3; землистый: 53,1; животный: 49,4; бальзамический: 49,3; теплый пряный: 47,7</t>
        </is>
      </c>
      <c r="N66" s="22" t="inlineStr">
        <is>
          <t>На каждый день: 80,9; Свидание: 66,8; Вечерние: 63,3; Прогулка: 60; Спортзал: 11,3</t>
        </is>
      </c>
    </row>
    <row r="67" ht="54" customHeight="1" s="20">
      <c r="A67" s="5" t="inlineStr">
        <is>
          <t>025</t>
        </is>
      </c>
      <c r="B67" s="6" t="inlineStr">
        <is>
          <t>FLUIDE 25 BACCARAT 30 мл</t>
        </is>
      </c>
      <c r="C67" s="6" t="inlineStr">
        <is>
          <t>Maison Francis Kurkdjian Baccarat Rouge 540</t>
        </is>
      </c>
      <c r="D67" s="7" t="n">
        <v>25</v>
      </c>
      <c r="E67" s="8">
        <f>100-D67</f>
        <v/>
      </c>
      <c r="F67" s="7" t="inlineStr">
        <is>
          <t>унисекс</t>
        </is>
      </c>
      <c r="G67" s="7" t="inlineStr">
        <is>
          <t>Селектив</t>
        </is>
      </c>
      <c r="I67" s="4" t="inlineStr">
        <is>
          <t>Eau de parfum</t>
        </is>
      </c>
      <c r="J67" s="21" t="inlineStr">
        <is>
          <t>Верхние: шафран, жасмин
Средние: амбровое дерево, амбра, гедион
Базовые: пихтовая смола, кедр, сахар, амброксан, дубовый мох</t>
        </is>
      </c>
      <c r="K67" s="17" t="inlineStr">
        <is>
          <t>восточные цветочные</t>
        </is>
      </c>
      <c r="L67" s="17" t="inlineStr">
        <is>
          <t>зима, осень</t>
        </is>
      </c>
      <c r="M67" s="22" t="inlineStr">
        <is>
          <t>древесный: 100; амбровый: 98,4; теплый пряный: 70,5; металлический: 47; свежий пряный: 46; фужерный: 45,7; белые цветы: 45,5; животный: 45,1; свежий: 44,7</t>
        </is>
      </c>
      <c r="N67" s="22" t="inlineStr">
        <is>
          <t>Вечерние: 100; Свидание: 100; На каждый день: 46,3; Прогулка: 32,4; Спортзал: 0</t>
        </is>
      </c>
    </row>
    <row r="68" ht="54" customHeight="1" s="20">
      <c r="A68" s="5" t="inlineStr">
        <is>
          <t>033</t>
        </is>
      </c>
      <c r="B68" s="6" t="inlineStr">
        <is>
          <t>FLUIDE 33 BLACK AFGANO 30 мл</t>
        </is>
      </c>
      <c r="C68" s="6" t="inlineStr">
        <is>
          <t>Nasomatto Black Afgano</t>
        </is>
      </c>
      <c r="D68" s="7" t="n">
        <v>20</v>
      </c>
      <c r="E68" s="8">
        <f>100-D68</f>
        <v/>
      </c>
      <c r="F68" s="7" t="inlineStr">
        <is>
          <t>унисекс</t>
        </is>
      </c>
      <c r="G68" s="7" t="inlineStr">
        <is>
          <t>Селектив</t>
        </is>
      </c>
      <c r="I68" s="4" t="inlineStr">
        <is>
          <t>Eau de parfum</t>
        </is>
      </c>
      <c r="J68" s="21" t="inlineStr">
        <is>
          <t>Верхние: каннабис, зеленые ноты, давана, шафран, тимьян
Средние: смолы, древесные ноты, табак, кофе, корица, фиалка, малина
Базовые: агаровое дерево (уд), ладан, амбра, анималистические ноты, гваяковое дерево, мускус, тонка, кедр, гурьюнский бальзам, амброксан, ваниль</t>
        </is>
      </c>
      <c r="K68" s="17" t="inlineStr">
        <is>
          <t>древесные фужерные</t>
        </is>
      </c>
      <c r="L68" s="17" t="inlineStr">
        <is>
          <t>зима</t>
        </is>
      </c>
      <c r="M68" s="22" t="inlineStr">
        <is>
          <t>амбровый: 100; древесный: 76,8; дымный: 76,3; удовый: 70,6; Каннабис: 64,6; бальзамический: 63,3; зеленый: 59,1; фужерный: 57,2; теплый пряный: 54,7; табачный: 53,1</t>
        </is>
      </c>
      <c r="N68" s="22" t="inlineStr">
        <is>
          <t>Свидание: 100; Вечерние: 95,1; На каждый день: 49,9; Прогулка: 34,9; Спортзал: 0</t>
        </is>
      </c>
    </row>
    <row r="69" ht="54" customHeight="1" s="20">
      <c r="A69" s="5" t="inlineStr">
        <is>
          <t>050</t>
        </is>
      </c>
      <c r="B69" s="6" t="inlineStr">
        <is>
          <t>FLUIDE 50 BLACK PEPPER 30 мл</t>
        </is>
      </c>
      <c r="C69" s="6" t="inlineStr">
        <is>
          <t>Zielinski &amp; Rozen Black Pepper</t>
        </is>
      </c>
      <c r="D69" s="7" t="n">
        <v>25</v>
      </c>
      <c r="E69" s="8">
        <f>100-D69</f>
        <v/>
      </c>
      <c r="F69" s="7" t="inlineStr">
        <is>
          <t>унисекс</t>
        </is>
      </c>
      <c r="G69" s="7" t="inlineStr">
        <is>
          <t>Селектив</t>
        </is>
      </c>
      <c r="I69" s="4" t="inlineStr">
        <is>
          <t>Eau de parfum</t>
        </is>
      </c>
      <c r="J69" s="21" t="inlineStr">
        <is>
          <t>Основные: черный перец, амбра, нероли</t>
        </is>
      </c>
      <c r="K69" s="17" t="inlineStr">
        <is>
          <t>фужерные пряные</t>
        </is>
      </c>
      <c r="L69" s="17" t="inlineStr">
        <is>
          <t>осень</t>
        </is>
      </c>
      <c r="M69" s="22" t="inlineStr">
        <is>
          <t>свежий пряный: 100; амбровый: 82; теплый пряный: 55,9; цитрусовый: 43,4; белые цветы: 43,4</t>
        </is>
      </c>
      <c r="N69" s="22" t="inlineStr">
        <is>
          <t>Свидание: 88,7; Вечерние: 80,9; На каждый день: 74,5; Прогулка: 56,2; Спортзал: 13,5</t>
        </is>
      </c>
    </row>
    <row r="70" ht="54" customHeight="1" s="20">
      <c r="A70" s="5" t="inlineStr">
        <is>
          <t>503</t>
        </is>
      </c>
      <c r="B70" s="6" t="inlineStr">
        <is>
          <t>FLUIDE 503 BLUE TALISMAN 30 мл</t>
        </is>
      </c>
      <c r="C70" s="6" t="inlineStr">
        <is>
          <t>Ex Nihilo Blue Talisman</t>
        </is>
      </c>
      <c r="D70" s="7" t="n">
        <v>25</v>
      </c>
      <c r="E70" s="8">
        <f>100-D70</f>
        <v/>
      </c>
      <c r="F70" s="7" t="inlineStr">
        <is>
          <t>унисекс</t>
        </is>
      </c>
      <c r="G70" s="7" t="inlineStr">
        <is>
          <t>Селектив</t>
        </is>
      </c>
      <c r="I70" s="4" t="inlineStr">
        <is>
          <t>Eau de parfum</t>
        </is>
      </c>
      <c r="J70" s="21" t="inlineStr">
        <is>
          <t>Верхние: груша, бергамот, мандарин, имбирь
Средние: цветок апельсина, георживуд
Базовые: мускус, амброфикс, акигалавуд, кедр</t>
        </is>
      </c>
      <c r="K70" s="17" t="inlineStr">
        <is>
          <t>цветочные древесно-мускусные</t>
        </is>
      </c>
      <c r="L70" s="17" t="inlineStr">
        <is>
          <t>весна, лето</t>
        </is>
      </c>
      <c r="M70" s="22" t="inlineStr">
        <is>
          <t>цитрусовый: 100; фруктовый: 71,7; мускусный: 67,5; сладкий: 66,8; древесный: 63,2; свежий пряный: 60,3; белые цветы: 56,8; пудровый: 53,8; свежий: 53,4; удовый: 52,3</t>
        </is>
      </c>
      <c r="N70" s="22" t="inlineStr">
        <is>
          <t>На каждый день: 97,6; Прогулка: 81,2; Вечерние: 49,8; Свидание: 49,8; Спортзал: 43</t>
        </is>
      </c>
    </row>
    <row r="71" ht="54" customHeight="1" s="20">
      <c r="A71" s="5" t="inlineStr">
        <is>
          <t>129</t>
        </is>
      </c>
      <c r="B71" s="6" t="inlineStr">
        <is>
          <t>FLUIDE 129 BOIS IMPERIAL 30 мл</t>
        </is>
      </c>
      <c r="C71" s="6" t="inlineStr">
        <is>
          <t>Essential Parfums Bois Impérial</t>
        </is>
      </c>
      <c r="D71" s="7" t="n">
        <v>25</v>
      </c>
      <c r="E71" s="8">
        <f>100-D71</f>
        <v/>
      </c>
      <c r="F71" s="7" t="inlineStr">
        <is>
          <t>унисекс</t>
        </is>
      </c>
      <c r="G71" s="7" t="inlineStr">
        <is>
          <t>Селектив</t>
        </is>
      </c>
      <c r="I71" s="4" t="inlineStr">
        <is>
          <t>Eau de parfum</t>
        </is>
      </c>
      <c r="J71" s="21" t="inlineStr">
        <is>
          <t>Основные: акигалавуд, древесные ноты, базилик, ветивер, тимурский перец, амброксан, пачули</t>
        </is>
      </c>
      <c r="K71" s="17" t="inlineStr">
        <is>
          <t>фужерные</t>
        </is>
      </c>
      <c r="L71" s="17" t="inlineStr">
        <is>
          <t>весна, осень</t>
        </is>
      </c>
      <c r="M71" s="22" t="inlineStr">
        <is>
          <t>древесный: 100; свежий пряный: 69,1; фужерный: 62; удовый: 55,3; зеленый: 48,8; амбровый: 47,8; землистый: 47,3; теплый пряный: 46,8</t>
        </is>
      </c>
      <c r="N71" s="22" t="inlineStr">
        <is>
          <t>На каждый день: 97,8; Прогулка: 80,1; Свидание: 42,8; Вечерние: 41,4; Спортзал: 38,8</t>
        </is>
      </c>
    </row>
    <row r="72" ht="54" customHeight="1" s="20">
      <c r="A72" s="5" t="inlineStr">
        <is>
          <t>039</t>
        </is>
      </c>
      <c r="B72" s="6" t="inlineStr">
        <is>
          <t>FLUIDE 39 CASSIOPEA 30 мл</t>
        </is>
      </c>
      <c r="C72" s="6" t="inlineStr">
        <is>
          <t>Tiziana Terenzi Cassiopea</t>
        </is>
      </c>
      <c r="D72" s="7" t="n">
        <v>25</v>
      </c>
      <c r="E72" s="8">
        <f>100-D72</f>
        <v/>
      </c>
      <c r="F72" s="7" t="inlineStr">
        <is>
          <t>унисекс</t>
        </is>
      </c>
      <c r="G72" s="7" t="inlineStr">
        <is>
          <t>Селектив</t>
        </is>
      </c>
      <c r="I72" s="4" t="inlineStr">
        <is>
          <t>Eau de parfum</t>
        </is>
      </c>
      <c r="J72" s="21" t="inlineStr">
        <is>
          <t>Верхние: маракуйя, черная смородина, лимон, папоротник
Средние: чайная роза, ландыш, гвоздика
Базовые: бобы тонка, мускус, сандал</t>
        </is>
      </c>
      <c r="K72" s="17" t="inlineStr">
        <is>
          <t>шипровые цветочные</t>
        </is>
      </c>
      <c r="L72" s="17" t="inlineStr">
        <is>
          <t>весна</t>
        </is>
      </c>
      <c r="M72" s="22" t="inlineStr">
        <is>
          <t>фруктовый: 100; фужерный: 99,3; сладкий: 98,1; свежий: 87,3; тропический: 87,3; мускусный: 81,4; пудровый: 69,1; ванильный: 68,6; древесный: 68; теплый пряный: 60,5</t>
        </is>
      </c>
      <c r="N72" s="22" t="inlineStr">
        <is>
          <t>На каждый день: 100; Вечерние: 76,9; Свидание: 76,9; Прогулка: 70; Спортзал: 0</t>
        </is>
      </c>
    </row>
    <row r="73" ht="54" customHeight="1" s="20">
      <c r="A73" s="5" t="inlineStr">
        <is>
          <t>053</t>
        </is>
      </c>
      <c r="B73" s="6" t="inlineStr">
        <is>
          <t>FLUIDE 53 DALAL 30 мл</t>
        </is>
      </c>
      <c r="C73" s="6" t="inlineStr">
        <is>
          <t>Al Rehab Dalal</t>
        </is>
      </c>
      <c r="D73" s="7" t="n">
        <v>20</v>
      </c>
      <c r="E73" s="8">
        <f>100-D73</f>
        <v/>
      </c>
      <c r="F73" s="7" t="inlineStr">
        <is>
          <t>унисекс</t>
        </is>
      </c>
      <c r="G73" s="7" t="inlineStr">
        <is>
          <t>Селектив</t>
        </is>
      </c>
      <c r="I73" s="4" t="inlineStr">
        <is>
          <t>Eau de parfum</t>
        </is>
      </c>
      <c r="J73" s="21" t="inlineStr">
        <is>
          <t>Основные: карамель, ваниль, апельсин, сандал</t>
        </is>
      </c>
      <c r="K73" s="17" t="inlineStr">
        <is>
          <t>восточные гурманские</t>
        </is>
      </c>
      <c r="L73" s="17" t="inlineStr">
        <is>
          <t>осень</t>
        </is>
      </c>
      <c r="M73" s="22" t="inlineStr">
        <is>
          <t>карамельный: 100; ванильный: 87,8; сладкий: 84,6; цитрусовый: 82; древесный: 73,9; пудровый: 68,5; бальзамический: 54,1; теплый пряный: 47,6</t>
        </is>
      </c>
      <c r="N73" s="22" t="inlineStr">
        <is>
          <t>Свидание: 100; На каждый день: 85,7; Вечерние: 81; Прогулка: 68,6; Спортзал: 28,6</t>
        </is>
      </c>
    </row>
    <row r="74" ht="54" customHeight="1" s="20">
      <c r="A74" s="5" t="inlineStr">
        <is>
          <t>038</t>
        </is>
      </c>
      <c r="B74" s="6" t="inlineStr">
        <is>
          <t>FLUIDE 38 ERBA PURA 30 мл</t>
        </is>
      </c>
      <c r="C74" s="6" t="inlineStr">
        <is>
          <t>Sospiro Erba Pura</t>
        </is>
      </c>
      <c r="D74" s="7" t="n">
        <v>25</v>
      </c>
      <c r="E74" s="8">
        <f>100-D74</f>
        <v/>
      </c>
      <c r="F74" s="7" t="inlineStr">
        <is>
          <t>унисекс</t>
        </is>
      </c>
      <c r="G74" s="7" t="inlineStr">
        <is>
          <t>Селектив</t>
        </is>
      </c>
      <c r="I74" s="4" t="inlineStr">
        <is>
          <t>Eau de parfum</t>
        </is>
      </c>
      <c r="J74" s="21" t="inlineStr">
        <is>
          <t>Верхние: апельсин, бергамот, лимон
Средние: фрукты
Базовые: белый мускус, амбра, мадагаскарская ваниль</t>
        </is>
      </c>
      <c r="K74" s="17" t="inlineStr">
        <is>
          <t>восточные</t>
        </is>
      </c>
      <c r="L74" s="17" t="inlineStr">
        <is>
          <t>весна, осень</t>
        </is>
      </c>
      <c r="M74" s="22" t="inlineStr">
        <is>
          <t>фруктовый: 100; мускусный: 92,2; цитрусовый: 86,2; сладкий: 85,8; пудровый: 81,9; амбровый: 77,8; ванильный: 70,3; животный: 48,9</t>
        </is>
      </c>
      <c r="N74" s="22" t="inlineStr">
        <is>
          <t>На каждый день: 80; Прогулка: 74; Спортзал: 60; Свидание: 50; Вечерние: 40</t>
        </is>
      </c>
    </row>
    <row r="75" ht="54" customHeight="1" s="20">
      <c r="A75" s="5" t="inlineStr">
        <is>
          <t>022</t>
        </is>
      </c>
      <c r="B75" s="6" t="inlineStr">
        <is>
          <t>FLUIDE 22 ESCENTRIC 02 30 мл</t>
        </is>
      </c>
      <c r="C75" s="6" t="inlineStr">
        <is>
          <t xml:space="preserve">Escentric Molecules Escentric 02 </t>
        </is>
      </c>
      <c r="D75" s="7" t="n">
        <v>30</v>
      </c>
      <c r="E75" s="8">
        <f>100-D75</f>
        <v/>
      </c>
      <c r="F75" s="7" t="inlineStr">
        <is>
          <t>унисекс</t>
        </is>
      </c>
      <c r="G75" s="7" t="inlineStr">
        <is>
          <t>Селектив</t>
        </is>
      </c>
      <c r="I75" s="4" t="inlineStr">
        <is>
          <t>Eau de extrait</t>
        </is>
      </c>
      <c r="J75" s="21" t="inlineStr">
        <is>
          <t>Основные: амброксан, изо е супер, ирис, жасмин</t>
        </is>
      </c>
      <c r="K75" s="17" t="inlineStr">
        <is>
          <t>восточные цветочные</t>
        </is>
      </c>
      <c r="L75" s="17" t="inlineStr">
        <is>
          <t>весна, лето</t>
        </is>
      </c>
      <c r="M75" s="22" t="inlineStr">
        <is>
          <t>амбровый: 100; мускусный: 86,7; древесный: 75,6; ирис: 64,1; пудровый: 54,3; фиалковый: 47</t>
        </is>
      </c>
      <c r="N75" s="22" t="inlineStr">
        <is>
          <t>На каждый день: 100; Прогулка: 87,1; Спортзал: 57; Свидание: 38,5; Вечерние: 33</t>
        </is>
      </c>
    </row>
    <row r="76" ht="54" customHeight="1" s="20">
      <c r="A76" s="5" t="inlineStr">
        <is>
          <t>021</t>
        </is>
      </c>
      <c r="B76" s="6" t="inlineStr">
        <is>
          <t>FLUIDE 21 ESCENTRIC 02 BLACK 30 мл</t>
        </is>
      </c>
      <c r="C76" s="6" t="inlineStr">
        <is>
          <t>Escentric Molecules Escentric 02 Black</t>
        </is>
      </c>
      <c r="D76" s="7" t="n">
        <v>28</v>
      </c>
      <c r="E76" s="8">
        <f>100-D76</f>
        <v/>
      </c>
      <c r="F76" s="7" t="inlineStr">
        <is>
          <t>унисекс</t>
        </is>
      </c>
      <c r="G76" s="7" t="inlineStr">
        <is>
          <t>Селектив</t>
        </is>
      </c>
      <c r="I76" s="4" t="inlineStr">
        <is>
          <t>Eau de extrait</t>
        </is>
      </c>
      <c r="J76" s="21" t="inlineStr">
        <is>
          <t>Основные: амброксан, изо е супер, ирис, жасмин</t>
        </is>
      </c>
      <c r="K76" s="17" t="inlineStr">
        <is>
          <t>восточные цветочные</t>
        </is>
      </c>
      <c r="L76" s="17" t="inlineStr">
        <is>
          <t>весна, лето</t>
        </is>
      </c>
      <c r="M76" s="22" t="inlineStr">
        <is>
          <t>амбровый: 100; мускусный: 86,7; древесный: 75,6; ирис: 64,1; пудровый: 54,3; фиалковый: 47</t>
        </is>
      </c>
      <c r="N76" s="22" t="inlineStr">
        <is>
          <t>На каждый день: 100; Прогулка: 87,1; Спортзал: 57; Свидание: 38,5; Вечерние: 33</t>
        </is>
      </c>
    </row>
    <row r="77" ht="54" customHeight="1" s="20">
      <c r="A77" s="5" t="inlineStr">
        <is>
          <t>024</t>
        </is>
      </c>
      <c r="B77" s="6" t="inlineStr">
        <is>
          <t>FLUIDE 24 FLEUR NARCOTIQUE 30 мл</t>
        </is>
      </c>
      <c r="C77" s="6" t="inlineStr">
        <is>
          <t>Ex Nihilo Fleur Narcotique</t>
        </is>
      </c>
      <c r="D77" s="7" t="n">
        <v>25</v>
      </c>
      <c r="E77" s="8">
        <f>100-D77</f>
        <v/>
      </c>
      <c r="F77" s="7" t="inlineStr">
        <is>
          <t>унисекс</t>
        </is>
      </c>
      <c r="G77" s="7" t="inlineStr">
        <is>
          <t>Селектив</t>
        </is>
      </c>
      <c r="I77" s="4" t="inlineStr">
        <is>
          <t>Eau de parfum</t>
        </is>
      </c>
      <c r="J77" s="21" t="inlineStr">
        <is>
          <t>Верхние: личи, бергамот, персик
Средние: пион, цветок апельсина, жасмин, петалия
Базовые: мускус, мох, древесные ноты</t>
        </is>
      </c>
      <c r="K77" s="17" t="inlineStr">
        <is>
          <t>цветочные фруктовые</t>
        </is>
      </c>
      <c r="L77" s="17" t="inlineStr">
        <is>
          <t>весна</t>
        </is>
      </c>
      <c r="M77" s="22" t="inlineStr">
        <is>
          <t>белые цветы: 100; цветочный: 98,4; свежий: 96,8; фруктовый: 88,3; цитрусовый: 83,2; мускусный: 64,7; розовый: 59,2; тропический: 57,6; пудровый: 57,4; древесный: 54,9</t>
        </is>
      </c>
      <c r="N77" s="22" t="inlineStr">
        <is>
          <t>На каждый день: 99,6; Прогулка: 69,7; Вечерние: 55,8; Свидание: 55,8; Спортзал: 0</t>
        </is>
      </c>
    </row>
    <row r="78" ht="54" customHeight="1" s="20">
      <c r="A78" s="5" t="inlineStr">
        <is>
          <t>536</t>
        </is>
      </c>
      <c r="B78" s="6" t="inlineStr">
        <is>
          <t>FLUIDE 536 GABA 30 мл</t>
        </is>
      </c>
      <c r="C78" s="6" t="inlineStr">
        <is>
          <t>Hormone Paris Gaba</t>
        </is>
      </c>
      <c r="D78" s="7" t="n">
        <v>25</v>
      </c>
      <c r="E78" s="8">
        <f>100-D78</f>
        <v/>
      </c>
      <c r="F78" s="7" t="inlineStr">
        <is>
          <t>унисекс</t>
        </is>
      </c>
      <c r="G78" s="7" t="inlineStr">
        <is>
          <t>Селектив</t>
        </is>
      </c>
      <c r="I78" s="4" t="inlineStr">
        <is>
          <t>Eau de parfum</t>
        </is>
      </c>
      <c r="J78" s="21" t="inlineStr">
        <is>
          <t>Верхние: мандарин, маракуйя
Средние: фрезия, жасмин, ландыш
Базовые: амбра, мох</t>
        </is>
      </c>
      <c r="K78" s="17" t="inlineStr">
        <is>
          <t>фужерные пряные</t>
        </is>
      </c>
      <c r="L78" s="17" t="inlineStr">
        <is>
          <t>весна</t>
        </is>
      </c>
      <c r="M78" s="22" t="inlineStr">
        <is>
          <t>цитрусовый: 100; цветочный: 77,2; фруктовый: 70,6; тропический: 61; сладкий: 59,1; белые цветы: 56; свежий: 46,4</t>
        </is>
      </c>
      <c r="N78" s="22" t="inlineStr">
        <is>
          <t>На каждый день: 95,6; Прогулка: 78; Свидание: 43,1; Вечерние: 40,3; Спортзал: 36,9</t>
        </is>
      </c>
    </row>
    <row r="79" ht="54" customHeight="1" s="20">
      <c r="A79" s="5" t="inlineStr">
        <is>
          <t>023</t>
        </is>
      </c>
      <c r="B79" s="6" t="inlineStr">
        <is>
          <t>FLUIDE 23 GAMES 1 30 мл</t>
        </is>
      </c>
      <c r="C79" s="6" t="inlineStr">
        <is>
          <t>Escentric Molecules The Beautiful Mind series Volume 1 Intelligence &amp; Fantasy</t>
        </is>
      </c>
      <c r="D79" s="7" t="n">
        <v>30</v>
      </c>
      <c r="E79" s="8">
        <f>100-D79</f>
        <v/>
      </c>
      <c r="F79" s="7" t="inlineStr">
        <is>
          <t>унисекс</t>
        </is>
      </c>
      <c r="G79" s="7" t="inlineStr">
        <is>
          <t>Селектив</t>
        </is>
      </c>
      <c r="I79" s="4" t="inlineStr">
        <is>
          <t>Eau de extrait</t>
        </is>
      </c>
      <c r="J79" s="21" t="inlineStr">
        <is>
          <t>Верхние: бергамот, розовый перец, мандарин, магнолия
Средние: фрезия, османтус, цветок тиаре, роза
Базовые: мускус, кашмеран, виргинский кедр, сандал</t>
        </is>
      </c>
      <c r="K79" s="17" t="inlineStr">
        <is>
          <t>цветочные древесно-мускусные</t>
        </is>
      </c>
      <c r="L79" s="17" t="inlineStr">
        <is>
          <t>весна, лето</t>
        </is>
      </c>
      <c r="M79" s="22" t="inlineStr">
        <is>
          <t>цитрусовый: 100; цветочный: 79,8; древесный: 77,4; мускусный: 74,5; пудровый: 65,1; мягкий пряный: 57,4; фруктовый: 51; свежий пряный: 46,5; сладкий: 45,7</t>
        </is>
      </c>
      <c r="N79" s="22" t="inlineStr">
        <is>
          <t>На каждый день: 86; Прогулка: 68,3; Свидание: 36,7; Вечерние: 36,4; Спортзал: 26,9</t>
        </is>
      </c>
    </row>
    <row r="80" ht="54" customHeight="1" s="20">
      <c r="A80" s="5" t="inlineStr">
        <is>
          <t>026</t>
        </is>
      </c>
      <c r="B80" s="6" t="inlineStr">
        <is>
          <t>FLUIDE 26 GANYMEDE 30 мл</t>
        </is>
      </c>
      <c r="C80" s="6" t="inlineStr">
        <is>
          <t>Marc-Antoine Barrois Ganymede</t>
        </is>
      </c>
      <c r="D80" s="7" t="n">
        <v>25</v>
      </c>
      <c r="E80" s="8">
        <f>100-D80</f>
        <v/>
      </c>
      <c r="F80" s="7" t="inlineStr">
        <is>
          <t>унисекс</t>
        </is>
      </c>
      <c r="G80" s="7" t="inlineStr">
        <is>
          <t>Селектив</t>
        </is>
      </c>
      <c r="I80" s="4" t="inlineStr">
        <is>
          <t>Eau de parfum</t>
        </is>
      </c>
      <c r="J80" s="21" t="inlineStr">
        <is>
          <t>Верхние: шафран, итальянский мандарин
Средние: китайский османтус, бессмертник, лист фиалки
Базовые: минеральные ноты, замша, акигалавуд, кедр, мускус, пачули</t>
        </is>
      </c>
      <c r="K80" s="17" t="inlineStr">
        <is>
          <t>древесные пряные</t>
        </is>
      </c>
      <c r="L80" s="17" t="inlineStr">
        <is>
          <t>весна, осень</t>
        </is>
      </c>
      <c r="M80" s="22" t="inlineStr">
        <is>
          <t>минеральный: 100; теплый пряный: 87,9; кожаный: 80,9; древесный: 70,6; удовый: 63,5; мускусный: 61,2; металлический: 51; пудровый: 49,6; цветочный: 48,3; фруктовый: 48,1</t>
        </is>
      </c>
      <c r="N80" s="22" t="inlineStr">
        <is>
          <t>Вечерние: 99,4; Свидание: 99,4; На каждый день: 94,3; Прогулка: 66; Спортзал: 0</t>
        </is>
      </c>
    </row>
    <row r="81" ht="54" customHeight="1" s="20">
      <c r="A81" s="5" t="inlineStr">
        <is>
          <t>063</t>
        </is>
      </c>
      <c r="B81" s="6" t="inlineStr">
        <is>
          <t>FLUIDE 63 HANUMAN 30 мл</t>
        </is>
      </c>
      <c r="C81" s="6" t="inlineStr">
        <is>
          <t>Boadicea the Victorious Hanuman</t>
        </is>
      </c>
      <c r="D81" s="7" t="n">
        <v>25</v>
      </c>
      <c r="E81" s="8">
        <f>100-D81</f>
        <v/>
      </c>
      <c r="F81" s="7" t="inlineStr">
        <is>
          <t>унисекс</t>
        </is>
      </c>
      <c r="G81" s="7" t="inlineStr">
        <is>
          <t>Селектив</t>
        </is>
      </c>
      <c r="I81" s="4" t="inlineStr">
        <is>
          <t>Eau de parfum</t>
        </is>
      </c>
      <c r="J81" s="21" t="inlineStr">
        <is>
          <t>Верхние: бергамот, лимон, цветок апельсина, черная смородина
Средние: османтус, нероли, магнолия, цикламен
Базовые: ветивер, кедр, мускус, амбра, сандал</t>
        </is>
      </c>
      <c r="K81" s="17" t="inlineStr">
        <is>
          <t>цветочные древесно-мускусные</t>
        </is>
      </c>
      <c r="L81" s="17" t="inlineStr">
        <is>
          <t>весна, лето</t>
        </is>
      </c>
      <c r="M81" s="22" t="inlineStr">
        <is>
          <t>цитрусовый: 100; цветочный: 79,1; фужерный: 67,6; древесный: 67; фруктовый: 65,9; белые цветы: 58,8; свежий: 47,9; свежий пряный: 46,3; землистый: 44,3</t>
        </is>
      </c>
      <c r="N81" s="22" t="inlineStr">
        <is>
          <t>На каждый день: 98,9; Вечерние: 77,8; Свидание: 77,8; Прогулка: 69,2; Спортзал: 0</t>
        </is>
      </c>
    </row>
    <row r="82" ht="54" customHeight="1" s="20">
      <c r="A82" s="5" t="inlineStr">
        <is>
          <t>006</t>
        </is>
      </c>
      <c r="B82" s="6" t="inlineStr">
        <is>
          <t>FLUIDE 6 HAYATI 30 мл</t>
        </is>
      </c>
      <c r="C82" s="6" t="inlineStr">
        <is>
          <t>Attar Collection Hayati</t>
        </is>
      </c>
      <c r="D82" s="7" t="n">
        <v>25</v>
      </c>
      <c r="E82" s="8">
        <f>100-D82</f>
        <v/>
      </c>
      <c r="F82" s="7" t="inlineStr">
        <is>
          <t>унисекс</t>
        </is>
      </c>
      <c r="G82" s="7" t="inlineStr">
        <is>
          <t>Селектив</t>
        </is>
      </c>
      <c r="I82" s="4" t="inlineStr">
        <is>
          <t>Eau de parfum</t>
        </is>
      </c>
      <c r="J82" s="21" t="inlineStr">
        <is>
          <t>Верхние: малина, ягодные фрукты, ананас
Средние: взбитые сливки, мед, черная смородина, слива, цветочные ноты
Базовые: мороженое, ваниль, белый мускус</t>
        </is>
      </c>
      <c r="K82" s="17" t="inlineStr">
        <is>
          <t>цветочные фруктовые</t>
        </is>
      </c>
      <c r="L82" s="17" t="inlineStr">
        <is>
          <t>весна, лето</t>
        </is>
      </c>
      <c r="M82" s="22" t="inlineStr">
        <is>
          <t>сладкий: 100; фруктовый: 82,2; ванильный: 66,3; свежий: 40,5; медовый: 39,4</t>
        </is>
      </c>
      <c r="N82" s="22" t="inlineStr">
        <is>
          <t>На каждый день: 77,5; Вечерние: 66,1; Свидание: 66,1; Прогулка: 54,3; Спортзал: 0</t>
        </is>
      </c>
    </row>
    <row r="83" ht="54" customHeight="1" s="20">
      <c r="A83" s="5" t="inlineStr">
        <is>
          <t>532</t>
        </is>
      </c>
      <c r="B83" s="6" t="inlineStr">
        <is>
          <t>FLUIDE 532 HEDONISTIC 30 мл</t>
        </is>
      </c>
      <c r="C83" s="6" t="inlineStr">
        <is>
          <t>Clive Christian Hedonistic</t>
        </is>
      </c>
      <c r="D83" s="7" t="n">
        <v>25</v>
      </c>
      <c r="E83" s="8">
        <f>100-D83</f>
        <v/>
      </c>
      <c r="F83" s="7" t="inlineStr">
        <is>
          <t>унисекс</t>
        </is>
      </c>
      <c r="G83" s="7" t="inlineStr">
        <is>
          <t>Селектив</t>
        </is>
      </c>
      <c r="I83" s="4" t="inlineStr">
        <is>
          <t>Eau de parfum</t>
        </is>
      </c>
      <c r="J83" s="21" t="inlineStr">
        <is>
          <t>Верхние: черная вишня, лист фиалки, мате, бергамот, нероли, мускатный шалфей, мандарин, грейпфрут, лимон
Средние: табак, корень ириса, жасмин, папирус
Базовые: амбра, кожа, бобы тонка, ваниль, сандал, мускус, кашемировое дерево, лабданум, ветивер, мох, пачули</t>
        </is>
      </c>
      <c r="K83" s="17" t="inlineStr">
        <is>
          <t>восточные</t>
        </is>
      </c>
      <c r="L83" s="17" t="inlineStr">
        <is>
          <t>зима, осень</t>
        </is>
      </c>
      <c r="M83" s="22" t="inlineStr">
        <is>
          <t>древесный: 100; амбровый: 94,8; вишневый: 80,7; фужерный: 74,1; ванильный: 71,9; цитрусовый: 70,8; пудровый: 70,2; кожаный: 67,4; сладкий: 67,2; табачный: 66,1</t>
        </is>
      </c>
      <c r="N83" s="22" t="inlineStr">
        <is>
          <t>Вечерние: 100; Свидание: 100; На каждый день: 52,4; Прогулка: 36,7; Спортзал: 0</t>
        </is>
      </c>
    </row>
    <row r="84" ht="54" customHeight="1" s="20">
      <c r="A84" s="5" t="inlineStr">
        <is>
          <t>527</t>
        </is>
      </c>
      <c r="B84" s="6" t="inlineStr">
        <is>
          <t>FLUIDE 527 JUCCI APPLE 30 мл</t>
        </is>
      </c>
      <c r="C84" s="6" t="inlineStr">
        <is>
          <t>Kayali Eden Juicy Apple 01</t>
        </is>
      </c>
      <c r="D84" s="7" t="n">
        <v>25</v>
      </c>
      <c r="E84" s="8">
        <f>100-D84</f>
        <v/>
      </c>
      <c r="F84" s="7" t="inlineStr">
        <is>
          <t>унисекс</t>
        </is>
      </c>
      <c r="G84" s="7" t="inlineStr">
        <is>
          <t>Селектив</t>
        </is>
      </c>
      <c r="I84" s="4" t="inlineStr">
        <is>
          <t>Eau de parfum</t>
        </is>
      </c>
      <c r="J84" s="21" t="inlineStr">
        <is>
          <t>Верхние: красное яблоко, личи, черная смородина, розовый грейпфрут
Средние: лесные ягоды, цветок малины, жасмин, майская роза
Базовые: сахар, мускус, цветок ванили, амбра, мох</t>
        </is>
      </c>
      <c r="K84" s="17" t="inlineStr">
        <is>
          <t>цветочные фруктовые сладкие</t>
        </is>
      </c>
      <c r="L84" s="17" t="inlineStr">
        <is>
          <t>весна, лето</t>
        </is>
      </c>
      <c r="M84" s="22" t="inlineStr">
        <is>
          <t>фруктовый: 100; сладкий: 62,6; ванильный: 47,4; свежий: 45,4; древесный: 45,4</t>
        </is>
      </c>
      <c r="N84" s="22" t="inlineStr">
        <is>
          <t>На каждый день: 100; Прогулка: 76,3; Вечерние: 29,5; Свидание: 29,5; Спортзал: 21</t>
        </is>
      </c>
    </row>
    <row r="85" ht="54" customHeight="1" s="20">
      <c r="A85" s="5" t="inlineStr">
        <is>
          <t>040</t>
        </is>
      </c>
      <c r="B85" s="6" t="inlineStr">
        <is>
          <t>FLUIDE 40 KIRKE 30 мл</t>
        </is>
      </c>
      <c r="C85" s="6" t="inlineStr">
        <is>
          <t>Tiziana Terenzi Kirkè</t>
        </is>
      </c>
      <c r="D85" s="7" t="n">
        <v>25</v>
      </c>
      <c r="E85" s="8">
        <f>100-D85</f>
        <v/>
      </c>
      <c r="F85" s="7" t="inlineStr">
        <is>
          <t>унисекс</t>
        </is>
      </c>
      <c r="G85" s="7" t="inlineStr">
        <is>
          <t>Селектив</t>
        </is>
      </c>
      <c r="I85" s="4" t="inlineStr">
        <is>
          <t>Eau de parfum</t>
        </is>
      </c>
      <c r="J85" s="21" t="inlineStr">
        <is>
          <t>Верхние: маракуйя, персик, груша, малина, черная смородина, песок
Средние: ландыш
Базовые: мускус, сандал, ваниль, пачули, гелиотроп</t>
        </is>
      </c>
      <c r="K85" s="17" t="inlineStr">
        <is>
          <t>шипровые фруктовые</t>
        </is>
      </c>
      <c r="L85" s="17" t="inlineStr">
        <is>
          <t>весна</t>
        </is>
      </c>
      <c r="M85" s="22" t="inlineStr">
        <is>
          <t>фруктовый: 100; сладкий: 76,9; мускусный: 63,2; пудровый: 63; свежий: 53,9; тропический: 51,4; древесный: 46,5</t>
        </is>
      </c>
      <c r="N85" s="22" t="inlineStr">
        <is>
          <t>Вечерние: 100; Свидание: 100; На каждый день: 99,8; Прогулка: 69,9; Спортзал: 0</t>
        </is>
      </c>
    </row>
    <row r="86" ht="54" customHeight="1" s="20">
      <c r="A86" s="5" t="inlineStr">
        <is>
          <t>041</t>
        </is>
      </c>
      <c r="B86" s="6" t="inlineStr">
        <is>
          <t>FLUIDE 41 LOST CHERRY 30 мл</t>
        </is>
      </c>
      <c r="C86" s="6" t="inlineStr">
        <is>
          <t>Tom Ford Lost Cherry</t>
        </is>
      </c>
      <c r="D86" s="7" t="n">
        <v>25</v>
      </c>
      <c r="E86" s="8">
        <f>100-D86</f>
        <v/>
      </c>
      <c r="F86" s="7" t="inlineStr">
        <is>
          <t>унисекс</t>
        </is>
      </c>
      <c r="G86" s="7" t="inlineStr">
        <is>
          <t>Селектив</t>
        </is>
      </c>
      <c r="I86" s="4" t="inlineStr">
        <is>
          <t>Eau de parfum</t>
        </is>
      </c>
      <c r="J86" s="21" t="inlineStr">
        <is>
          <t>Верхние: горький миндаль, черная вишня, вишневый ликер
Средние: кислая вишня, слива, турецкая роза, жасмин самбак
Базовые: ваниль, бобы тонка, корица, перуанский бальзам, сандал, бензоин, гвоздика-пряность, кедр, пачули, ветивер</t>
        </is>
      </c>
      <c r="K86" s="17" t="inlineStr">
        <is>
          <t>восточные цветочные</t>
        </is>
      </c>
      <c r="L86" s="17" t="inlineStr">
        <is>
          <t>зима, осень</t>
        </is>
      </c>
      <c r="M86" s="22" t="inlineStr">
        <is>
          <t>вишневый: 100; сладкий: 91,9; миндальный: 84,9; ореховый: 75,6; фруктовый: 72,1; ванильный: 63,6; теплый пряный: 58,2; амбровый: 54,3; древесный: 52,9; бальзамический: 48,7</t>
        </is>
      </c>
      <c r="N86" s="22" t="inlineStr">
        <is>
          <t>Вечерние: 100; Свидание: 100; На каждый день: 69,7; Прогулка: 48,8; Спортзал: 0</t>
        </is>
      </c>
    </row>
    <row r="87" ht="54" customHeight="1" s="20">
      <c r="A87" s="5" t="inlineStr">
        <is>
          <t>533</t>
        </is>
      </c>
      <c r="B87" s="6" t="inlineStr">
        <is>
          <t>FLUIDE 533 MATSUKITA 30 мл</t>
        </is>
      </c>
      <c r="C87" s="6" t="inlineStr">
        <is>
          <t>Clive Christian Matsukita</t>
        </is>
      </c>
      <c r="D87" s="7" t="n">
        <v>25</v>
      </c>
      <c r="E87" s="8">
        <f>100-D87</f>
        <v/>
      </c>
      <c r="F87" s="7" t="inlineStr">
        <is>
          <t>унисекс</t>
        </is>
      </c>
      <c r="G87" s="7" t="inlineStr">
        <is>
          <t>Селектив</t>
        </is>
      </c>
      <c r="I87" s="4" t="inlineStr">
        <is>
          <t>Eau de parfum</t>
        </is>
      </c>
      <c r="J87" s="21" t="inlineStr">
        <is>
          <t>Верхние: бергамот, розовый перец, мускатный орех
Средние: мате, китайский жасмин, жасмин самбак, гваяковое дерево
Базовые: бальзамическая пихта, древесные ноты, мускус, амбра</t>
        </is>
      </c>
      <c r="K87" s="17" t="inlineStr">
        <is>
          <t>древесные шипровые</t>
        </is>
      </c>
      <c r="L87" s="17" t="inlineStr">
        <is>
          <t>весна, осень</t>
        </is>
      </c>
      <c r="M87" s="22" t="inlineStr">
        <is>
          <t>древесный: 100; свежий пряный: 95,3; фужерный: 83,3; цитрусовый: 61,5; свежий: 55,7; мускусный: 55,6; белые цветы: 55; пудровый: 47,7; хвойный: 45,7</t>
        </is>
      </c>
      <c r="N87" s="22" t="inlineStr">
        <is>
          <t>На каждый день: 100; Свидание: 95,8; Вечерние: 91,7; Прогулка: 70; Спортзал: 0</t>
        </is>
      </c>
    </row>
    <row r="88" ht="54" customHeight="1" s="20">
      <c r="A88" s="5" t="n">
        <v>180</v>
      </c>
      <c r="B88" s="6" t="inlineStr">
        <is>
          <t>FLUIDE 180 Maya's Ritual 30 мл</t>
        </is>
      </c>
      <c r="C88" s="6" t="inlineStr">
        <is>
          <t>Kilian Smoke For The Soul</t>
        </is>
      </c>
      <c r="D88" s="7" t="n">
        <v>25</v>
      </c>
      <c r="E88" s="8">
        <f>100-D88</f>
        <v/>
      </c>
      <c r="F88" s="7" t="inlineStr">
        <is>
          <t>унисекс</t>
        </is>
      </c>
      <c r="G88" s="7" t="inlineStr">
        <is>
          <t>Селектив</t>
        </is>
      </c>
      <c r="I88" s="4" t="inlineStr">
        <is>
          <t>Eau de parfum</t>
        </is>
      </c>
      <c r="J88" s="21" t="inlineStr">
        <is>
          <t>Основные: каннабис, эвкалипт, мате, береза, табак, кардамон, грейпфрут, кашемировое дерево</t>
        </is>
      </c>
      <c r="K88" s="17" t="inlineStr">
        <is>
          <t>древесные фужерные</t>
        </is>
      </c>
      <c r="L88" s="17" t="inlineStr">
        <is>
          <t>осень</t>
        </is>
      </c>
      <c r="M88" s="22" t="inlineStr">
        <is>
          <t>фужерный: 100; древесный: 85,7; Каннабис: 71,8; дымный: 65,6; камфорный: 57; кожаный: 53,7; зеленый: 52,8; табачный: 51,4; травяной: 50,9; теплый пряный: 48,7</t>
        </is>
      </c>
      <c r="N88" s="22" t="inlineStr">
        <is>
          <t>На каждый день: 84,8; Прогулка: 71; Свидание: 59,3; Вечерние: 52,2; Спортзал: 38,9</t>
        </is>
      </c>
    </row>
    <row r="89" ht="54" customHeight="1" s="20">
      <c r="A89" s="5" t="inlineStr">
        <is>
          <t>007</t>
        </is>
      </c>
      <c r="B89" s="6" t="inlineStr">
        <is>
          <t>FLUIDE 7 MUSK KASHMIR 30 мл</t>
        </is>
      </c>
      <c r="C89" s="6" t="inlineStr">
        <is>
          <t>Attar Collection Musk Kashmir</t>
        </is>
      </c>
      <c r="D89" s="7" t="n">
        <v>25</v>
      </c>
      <c r="E89" s="8">
        <f>100-D89</f>
        <v/>
      </c>
      <c r="F89" s="7" t="inlineStr">
        <is>
          <t>унисекс</t>
        </is>
      </c>
      <c r="G89" s="7" t="inlineStr">
        <is>
          <t>Селектив</t>
        </is>
      </c>
      <c r="I89" s="4" t="inlineStr">
        <is>
          <t>Eau de parfum</t>
        </is>
      </c>
      <c r="J89" s="21" t="inlineStr">
        <is>
          <t>Основные: белый мускус, белый перец, сандал, гардения, гвоздика-пряность</t>
        </is>
      </c>
      <c r="K89" s="17" t="inlineStr">
        <is>
          <t>цветочные древесно-мускусные</t>
        </is>
      </c>
      <c r="L89" s="17" t="inlineStr">
        <is>
          <t>зима, осень</t>
        </is>
      </c>
      <c r="M89" s="22" t="inlineStr">
        <is>
          <t>мускусный: 100; пудровый: 79,9; теплый пряный: 75; свежий пряный: 65,6; древесный: 59,9; белые цветы: 56,2; животный: 45,7</t>
        </is>
      </c>
      <c r="N89" s="22" t="inlineStr">
        <is>
          <t>На каждый день: 95; Прогулка: 74; Свидание: 41,7; Вечерние: 33,3; Спортзал: 25</t>
        </is>
      </c>
    </row>
    <row r="90" ht="54" customHeight="1" s="20">
      <c r="A90" s="5" t="inlineStr">
        <is>
          <t>502</t>
        </is>
      </c>
      <c r="B90" s="6" t="inlineStr">
        <is>
          <t>FLUIDE 502 OMBRE LEATHER 30 мл</t>
        </is>
      </c>
      <c r="C90" s="6" t="inlineStr">
        <is>
          <t>Tom Ford Ombre Leather</t>
        </is>
      </c>
      <c r="D90" s="7" t="n">
        <v>20</v>
      </c>
      <c r="E90" s="8">
        <f>100-D90</f>
        <v/>
      </c>
      <c r="F90" s="7" t="inlineStr">
        <is>
          <t>унисекс</t>
        </is>
      </c>
      <c r="G90" s="7" t="inlineStr">
        <is>
          <t>Селектив</t>
        </is>
      </c>
      <c r="I90" s="4" t="inlineStr">
        <is>
          <t>Eau de parfum</t>
        </is>
      </c>
      <c r="J90" s="21" t="inlineStr">
        <is>
          <t>Верхние: кардамон
Средние: кожа, жасмин самбак
Базовые: амбра, мох, пачули</t>
        </is>
      </c>
      <c r="K90" s="17" t="inlineStr">
        <is>
          <t>кожаные</t>
        </is>
      </c>
      <c r="L90" s="17" t="inlineStr">
        <is>
          <t>зима, осень</t>
        </is>
      </c>
      <c r="M90" s="22" t="inlineStr">
        <is>
          <t>кожаный: 100; животный: 71,1; теплый пряный: 58,7; белые цветы: 56,9; амбровый: 53,6; дымный: 51; землистый: 47,5; мшистый: 46,4; пачулиевый: 45,2; древесный: 44</t>
        </is>
      </c>
      <c r="N90" s="22" t="inlineStr">
        <is>
          <t>Свидание: 100; Вечерние: 98,8; На каждый день: 61,6; Прогулка: 43,1; Спортзал: 0</t>
        </is>
      </c>
    </row>
    <row r="91" ht="54" customHeight="1" s="20">
      <c r="A91" s="5" t="inlineStr">
        <is>
          <t>179</t>
        </is>
      </c>
      <c r="B91" s="6" t="inlineStr">
        <is>
          <t>FLUIDE 179 PRINCESS 30 мл</t>
        </is>
      </c>
      <c r="C91" s="6" t="inlineStr">
        <is>
          <t>By Kilian Princess</t>
        </is>
      </c>
      <c r="D91" s="7" t="n">
        <v>25</v>
      </c>
      <c r="E91" s="8">
        <f>100-D91</f>
        <v/>
      </c>
      <c r="F91" s="7" t="inlineStr">
        <is>
          <t>унисекс</t>
        </is>
      </c>
      <c r="G91" s="7" t="inlineStr">
        <is>
          <t>Селектив</t>
        </is>
      </c>
      <c r="I91" s="4" t="inlineStr">
        <is>
          <t>Eau de parfum</t>
        </is>
      </c>
      <c r="J91" s="21" t="inlineStr">
        <is>
          <t>Основные: маршмеллоу, чай матча, имбирь</t>
        </is>
      </c>
      <c r="K91" s="17" t="inlineStr">
        <is>
          <t>восточные гурманские</t>
        </is>
      </c>
      <c r="L91" s="17" t="inlineStr">
        <is>
          <t>зима, весна, осень</t>
        </is>
      </c>
      <c r="M91" s="22" t="inlineStr">
        <is>
          <t>пудровый: 100; сладкий: 95,5; зеленый: 64,9; свежий пряный: 54,1; свежий: 45</t>
        </is>
      </c>
      <c r="N91" s="22" t="inlineStr">
        <is>
          <t>На каждый день: 100; Свидание: 88,3; Вечерние: 76,7; Прогулка: 70; Спортзал: 0</t>
        </is>
      </c>
    </row>
    <row r="92" ht="54" customHeight="1" s="20">
      <c r="A92" s="5" t="inlineStr">
        <is>
          <t>535</t>
        </is>
      </c>
      <c r="B92" s="6" t="inlineStr">
        <is>
          <t>FLUIDE 535 STELLAR TIMES 30 мл</t>
        </is>
      </c>
      <c r="C92" s="6" t="inlineStr">
        <is>
          <t>Louis Vuitton Stellar Times</t>
        </is>
      </c>
      <c r="D92" s="7" t="n">
        <v>25</v>
      </c>
      <c r="E92" s="8">
        <f>100-D92</f>
        <v/>
      </c>
      <c r="F92" s="7" t="inlineStr">
        <is>
          <t>унисекс</t>
        </is>
      </c>
      <c r="G92" s="7" t="inlineStr">
        <is>
          <t>Селектив</t>
        </is>
      </c>
      <c r="I92" s="4" t="inlineStr">
        <is>
          <t>Eau de parfum</t>
        </is>
      </c>
      <c r="J92" s="21" t="inlineStr">
        <is>
          <t>Основные: цветок апельсина, амбра, древесные ноты</t>
        </is>
      </c>
      <c r="K92" s="17" t="inlineStr">
        <is>
          <t>восточные цветочные</t>
        </is>
      </c>
      <c r="L92" s="17" t="inlineStr">
        <is>
          <t>зима, весна, лето, осень</t>
        </is>
      </c>
      <c r="M92" s="22" t="inlineStr">
        <is>
          <t>белые цветы: 100; амбровый: 98,4; древесный: 91,6; цитрусовый: 65; животный: 57,7; сладкий: 51; мыльный: 47,5</t>
        </is>
      </c>
      <c r="N92" s="22" t="inlineStr">
        <is>
          <t>Свидание: 75,4; Вечерние: 73,1; На каждый день: 71,9; Прогулка: 57,2; Спортзал: 22,8</t>
        </is>
      </c>
    </row>
    <row r="93" ht="54" customHeight="1" s="20">
      <c r="A93" s="5" t="inlineStr">
        <is>
          <t>032</t>
        </is>
      </c>
      <c r="B93" s="6" t="inlineStr">
        <is>
          <t>FLUIDE 32 SYMPHONY 30 мл</t>
        </is>
      </c>
      <c r="C93" s="6" t="inlineStr">
        <is>
          <t>Louis Vuitton Symphony</t>
        </is>
      </c>
      <c r="D93" s="7" t="n">
        <v>25</v>
      </c>
      <c r="E93" s="8">
        <f>100-D93</f>
        <v/>
      </c>
      <c r="F93" s="7" t="inlineStr">
        <is>
          <t>унисекс</t>
        </is>
      </c>
      <c r="G93" s="7" t="inlineStr">
        <is>
          <t>Селектив</t>
        </is>
      </c>
      <c r="I93" s="4" t="inlineStr">
        <is>
          <t>Eau de parfum</t>
        </is>
      </c>
      <c r="J93" s="21" t="inlineStr">
        <is>
          <t>Основные: грейпфрут, бергамот, имбирь</t>
        </is>
      </c>
      <c r="K93" s="17" t="inlineStr">
        <is>
          <t>цитрусовые</t>
        </is>
      </c>
      <c r="L93" s="17" t="inlineStr">
        <is>
          <t>весна, лето</t>
        </is>
      </c>
      <c r="M93" s="22" t="inlineStr">
        <is>
          <t>цитрусовый: 100; свежий пряный: 59,2; фужерный: 47,3; цветочный: 35,1; горький: 33,6</t>
        </is>
      </c>
      <c r="N93" s="22" t="inlineStr">
        <is>
          <t>На каждый день: 100; Прогулка: 82,5; Вечерние: 58,2; Свидание: 58,2; Спортзал: 41,8</t>
        </is>
      </c>
    </row>
    <row r="94" ht="54" customHeight="1" s="20">
      <c r="A94" s="5" t="inlineStr">
        <is>
          <t>517</t>
        </is>
      </c>
      <c r="B94" s="6" t="inlineStr">
        <is>
          <t>FLUIDE 517 THOMAS NEON 30 мл</t>
        </is>
      </c>
      <c r="C94" s="6" t="inlineStr">
        <is>
          <t>Thomas Kosmala No.4 Neon</t>
        </is>
      </c>
      <c r="D94" s="7" t="n">
        <v>20</v>
      </c>
      <c r="E94" s="8">
        <f>100-D94</f>
        <v/>
      </c>
      <c r="F94" s="7" t="inlineStr">
        <is>
          <t>унисекс</t>
        </is>
      </c>
      <c r="G94" s="7" t="inlineStr">
        <is>
          <t>Селектив</t>
        </is>
      </c>
      <c r="I94" s="4" t="inlineStr">
        <is>
          <t>Eau de parfum</t>
        </is>
      </c>
      <c r="J94" s="21" t="inlineStr">
        <is>
          <t>Верхние: помело, юдзу, мандарин
Средние: манго, дыня, гальбанум
Базовые: озоновые ноты, солнечные ноты, альдегиды</t>
        </is>
      </c>
      <c r="K94" s="17" t="inlineStr">
        <is>
          <t>фужерные</t>
        </is>
      </c>
      <c r="L94" s="17" t="inlineStr">
        <is>
          <t>лето</t>
        </is>
      </c>
      <c r="M94" s="22" t="inlineStr">
        <is>
          <t>цитрусовый: 100; озоновый: 79,3; сладкий: 69; фруктовый: 67,5; альдегидный: 67,1; тропический: 61,9; свежий: 53,9; зеленый: 49,9; акватический: 46,6; свежий пряный: 45,4</t>
        </is>
      </c>
      <c r="N94" s="22" t="inlineStr">
        <is>
          <t>На каждый день: 100; Прогулка: 88,8; Спортзал: 62,5; Вечерние: 50; Свидание: 50</t>
        </is>
      </c>
    </row>
    <row r="95" ht="54" customHeight="1" s="20">
      <c r="A95" s="5" t="inlineStr">
        <is>
          <t>516</t>
        </is>
      </c>
      <c r="B95" s="6" t="inlineStr">
        <is>
          <t>FLUIDE 516 TILIA 30 мл</t>
        </is>
      </c>
      <c r="C95" s="6" t="inlineStr">
        <is>
          <t>Marc-Antoine Barrois Tilia</t>
        </is>
      </c>
      <c r="D95" s="7" t="n">
        <v>25</v>
      </c>
      <c r="E95" s="8">
        <f>100-D95</f>
        <v/>
      </c>
      <c r="F95" s="7" t="inlineStr">
        <is>
          <t>унисекс</t>
        </is>
      </c>
      <c r="G95" s="7" t="inlineStr">
        <is>
          <t>Селектив</t>
        </is>
      </c>
      <c r="I95" s="4" t="inlineStr">
        <is>
          <t>Eau de parfum</t>
        </is>
      </c>
      <c r="J95" s="21" t="inlineStr">
        <is>
          <t>Верхние: цветок липы, жасмин самбак, ракитник
Средние: цветок апельсина, гелиотроп, ветивер
Базовые: амброфикс, георживуд</t>
        </is>
      </c>
      <c r="K95" s="17" t="inlineStr">
        <is>
          <t>цветочные древесно-мускусные</t>
        </is>
      </c>
      <c r="L95" s="17" t="inlineStr">
        <is>
          <t>весна</t>
        </is>
      </c>
      <c r="M95" s="22" t="inlineStr">
        <is>
          <t>желтые цветы: 100; белые цветы: 81,6; сладкий: 79; цветочный: 56,4; пудровый: 55,2; медовый: 52,6; зеленый: 46,5</t>
        </is>
      </c>
      <c r="N95" s="22" t="inlineStr">
        <is>
          <t>На каждый день: 37,5; Прогулка: 26,6; Вечерние: 3,8; Свидание: 3,8; Спортзал: 1,1</t>
        </is>
      </c>
    </row>
    <row r="96" ht="54" customHeight="1" s="20">
      <c r="A96" s="5" t="inlineStr">
        <is>
          <t>042</t>
        </is>
      </c>
      <c r="B96" s="6" t="inlineStr">
        <is>
          <t>FLUIDE 42 TOBACCO VANILLE 30 мл</t>
        </is>
      </c>
      <c r="C96" s="6" t="inlineStr">
        <is>
          <t>Tom Ford Tobacco Vanille</t>
        </is>
      </c>
      <c r="D96" s="7" t="n">
        <v>22</v>
      </c>
      <c r="E96" s="8">
        <f>100-D96</f>
        <v/>
      </c>
      <c r="F96" s="7" t="inlineStr">
        <is>
          <t>унисекс</t>
        </is>
      </c>
      <c r="G96" s="7" t="inlineStr">
        <is>
          <t>Селектив</t>
        </is>
      </c>
      <c r="I96" s="4" t="inlineStr">
        <is>
          <t>Eau de parfum</t>
        </is>
      </c>
      <c r="J96" s="21" t="inlineStr">
        <is>
          <t>Верхние: табачный лист, пряные ноты
Средние: ваниль, какао, бобы тонка, цветок табака
Базовые: сухофрукты, древесные ноты</t>
        </is>
      </c>
      <c r="K96" s="17" t="inlineStr">
        <is>
          <t>восточные пряные</t>
        </is>
      </c>
      <c r="L96" s="17" t="inlineStr">
        <is>
          <t>зима</t>
        </is>
      </c>
      <c r="M96" s="22" t="inlineStr">
        <is>
          <t>ванильный: 100; сладкий: 94,5; табачный: 85,5; теплый пряный: 71,8; фруктовый: 60,5; древесный: 54,3; какао: 52,8; пудровый: 49,5</t>
        </is>
      </c>
      <c r="N96" s="22" t="inlineStr">
        <is>
          <t>Свидание: 100; Вечерние: 95,6; На каждый день: 44,3; Прогулка: 31; Спортзал: 0</t>
        </is>
      </c>
    </row>
    <row r="97" ht="54" customHeight="1" s="20">
      <c r="A97" s="5" t="inlineStr">
        <is>
          <t>043</t>
        </is>
      </c>
      <c r="B97" s="6" t="inlineStr">
        <is>
          <t>FLUIDE 43 VANILLA BLEND 30 мл</t>
        </is>
      </c>
      <c r="C97" s="6" t="inlineStr">
        <is>
          <t>Zielinski &amp; Rozen Vanilla Blend</t>
        </is>
      </c>
      <c r="D97" s="7" t="n">
        <v>30</v>
      </c>
      <c r="E97" s="8">
        <f>100-D97</f>
        <v/>
      </c>
      <c r="F97" s="7" t="inlineStr">
        <is>
          <t>унисекс</t>
        </is>
      </c>
      <c r="G97" s="7" t="inlineStr">
        <is>
          <t>Селектив</t>
        </is>
      </c>
      <c r="I97" s="4" t="inlineStr">
        <is>
          <t>Eau de extrait</t>
        </is>
      </c>
      <c r="J97" s="21" t="inlineStr">
        <is>
          <t>Основные: ваниль</t>
        </is>
      </c>
      <c r="K97" s="17" t="inlineStr">
        <is>
          <t>восточные гурманские</t>
        </is>
      </c>
      <c r="L97" s="17" t="inlineStr">
        <is>
          <t>зима, осень</t>
        </is>
      </c>
      <c r="M97" s="22" t="inlineStr">
        <is>
          <t>ванильный: 100; пудровый: 51; сладкий: 44; бальзамический: 40,5; мягкий пряный: 37</t>
        </is>
      </c>
      <c r="N97" s="22" t="inlineStr">
        <is>
          <t>Свидание: 91,3; Вечерние: 90,4; На каждый день: 71,8; Прогулка: 50,3; Спортзал: 0</t>
        </is>
      </c>
    </row>
    <row r="98" ht="54" customHeight="1" s="20">
      <c r="A98" s="5" t="inlineStr">
        <is>
          <t>526</t>
        </is>
      </c>
      <c r="B98" s="6" t="inlineStr">
        <is>
          <t>FLUIDE 526 VANILLA POWDER 30 мл</t>
        </is>
      </c>
      <c r="C98" s="6" t="inlineStr">
        <is>
          <t>Matiere Premiere Vanilla Powder</t>
        </is>
      </c>
      <c r="D98" s="7" t="n">
        <v>25</v>
      </c>
      <c r="E98" s="8">
        <f>100-D98</f>
        <v/>
      </c>
      <c r="F98" s="7" t="inlineStr">
        <is>
          <t>унисекс</t>
        </is>
      </c>
      <c r="G98" s="7" t="inlineStr">
        <is>
          <t>Селектив</t>
        </is>
      </c>
      <c r="I98" s="4" t="inlineStr">
        <is>
          <t>Eau de parfum</t>
        </is>
      </c>
      <c r="J98" s="21" t="inlineStr">
        <is>
          <t>Верхние: кокосовая пудра, гелиотроп
Средние: мадагаскарская ваниль
Базовые: абсолют ванили, белый мускус, мускус, пало санто, кокос, лактоны</t>
        </is>
      </c>
      <c r="K98" s="17" t="inlineStr">
        <is>
          <t>восточные гурманские</t>
        </is>
      </c>
      <c r="L98" s="17" t="inlineStr">
        <is>
          <t>зима, осень</t>
        </is>
      </c>
      <c r="M98" s="22" t="inlineStr">
        <is>
          <t>ванильный: 100; пудровый: 76,2; мускусный: 69,3; древесный: 55,4; сладкий: 53,7; кокосовый: 52,4</t>
        </is>
      </c>
      <c r="N98" s="22" t="inlineStr">
        <is>
          <t>Свидание: 100; Вечерние: 97; На каждый день: 66,5; Прогулка: 46,5; Спортзал: 0</t>
        </is>
      </c>
    </row>
    <row r="99" ht="54" customHeight="1" s="20">
      <c r="A99" s="5" t="inlineStr">
        <is>
          <t>510</t>
        </is>
      </c>
      <c r="B99" s="6" t="inlineStr">
        <is>
          <t>FLUIDE 510 WHITE CHOCOLA 30 мл</t>
        </is>
      </c>
      <c r="C99" s="6" t="inlineStr">
        <is>
          <t>Richard White Chocola</t>
        </is>
      </c>
      <c r="D99" s="7" t="n">
        <v>25</v>
      </c>
      <c r="E99" s="8">
        <f>100-D99</f>
        <v/>
      </c>
      <c r="F99" s="7" t="inlineStr">
        <is>
          <t>унисекс</t>
        </is>
      </c>
      <c r="G99" s="7" t="inlineStr">
        <is>
          <t>Селектив</t>
        </is>
      </c>
      <c r="I99" s="4" t="inlineStr">
        <is>
          <t>Eau de parfum</t>
        </is>
      </c>
      <c r="J99" s="21" t="inlineStr">
        <is>
          <t>Верхние: мандарин, мускатный орех
Средние: белый шоколад
Базовые: цветок миндаля, цветок персика, цветок вишни, мимоза</t>
        </is>
      </c>
      <c r="K99" s="17" t="inlineStr">
        <is>
          <t>восточные гурманские</t>
        </is>
      </c>
      <c r="L99" s="17" t="inlineStr">
        <is>
          <t>зима, осень</t>
        </is>
      </c>
      <c r="M99" s="22" t="inlineStr">
        <is>
          <t>сладкий: 100; цветочный: 92,2; ванильный: 74,1; шоколад: 54; пудровый: 49,8; цитрусовый: 49,5; свежий пряный: 46,7; фруктовый: 45,9</t>
        </is>
      </c>
      <c r="N99" s="22" t="inlineStr">
        <is>
          <t>Свидание: 91,3; Вечерние: 90,4; На каждый день: 71,8; Прогулка: 50,3; Спортзал: 0</t>
        </is>
      </c>
    </row>
    <row r="100" ht="54" customHeight="1" s="20">
      <c r="A100" s="5" t="inlineStr">
        <is>
          <t>505</t>
        </is>
      </c>
      <c r="B100" s="6" t="inlineStr">
        <is>
          <t>FLUIDE 505 WOOD &amp; SEA SALT 30 мл</t>
        </is>
      </c>
      <c r="C100" s="6" t="inlineStr">
        <is>
          <t>Jo Malone Wood Sage &amp; Sea Salt</t>
        </is>
      </c>
      <c r="D100" s="7" t="n">
        <v>25</v>
      </c>
      <c r="E100" s="8">
        <f>100-D100</f>
        <v/>
      </c>
      <c r="F100" s="7" t="inlineStr">
        <is>
          <t>унисекс</t>
        </is>
      </c>
      <c r="G100" s="7" t="inlineStr">
        <is>
          <t>Селектив</t>
        </is>
      </c>
      <c r="I100" s="4" t="inlineStr">
        <is>
          <t>Eau de parfum</t>
        </is>
      </c>
      <c r="J100" s="21" t="inlineStr">
        <is>
          <t>Основные: морская соль, шалфей, грейпфрут, амбретта (мускусная мальва), водоросли</t>
        </is>
      </c>
      <c r="K100" s="17" t="inlineStr">
        <is>
          <t>фужерные</t>
        </is>
      </c>
      <c r="L100" s="17" t="inlineStr">
        <is>
          <t>лето</t>
        </is>
      </c>
      <c r="M100" s="22" t="inlineStr">
        <is>
          <t>фужерный: 100; соленый: 80; морской: 78,9; цитрусовый: 73,8; мускусный: 70,9; травяной: 68,7; мягкий пряный: 57,6; цветочный: 52,4; акватический: 46,8</t>
        </is>
      </c>
      <c r="N100" s="22" t="inlineStr">
        <is>
          <t>На каждый день: 98,2; Прогулка: 84,1; Спортзал: 51,4; Свидание: 17,2; Вечерние: 14,5</t>
        </is>
      </c>
    </row>
  </sheetData>
  <autoFilter ref="A1:N100"/>
  <dataValidations count="1">
    <dataValidation sqref="D2:D199" showDropDown="0" showInputMessage="0" showErrorMessage="1" allowBlank="1" type="list">
      <formula1>"22,30,25,35,28,20"</formula1>
    </dataValidation>
  </dataValidations>
  <printOptions horizontalCentered="1" gridLines="1"/>
  <pageMargins left="0.25" right="0.25" top="0.1968503937007874" bottom="0.1968503937007874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2026-06-21T06:35:45Z</dcterms:created>
  <dcterms:modified xmlns:dcterms="http://purl.org/dc/terms/" xmlns:xsi="http://www.w3.org/2001/XMLSchema-instance" xsi:type="dcterms:W3CDTF">2026-07-20T10:18:57Z</dcterms:modified>
</cp:coreProperties>
</file>